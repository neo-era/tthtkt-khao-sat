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 khao sat" sheetId="1" state="visible" r:id="rId3"/>
  </sheets>
  <definedNames>
    <definedName function="false" hidden="false" localSheetId="0" name="_xlnm.Print_Titles" vbProcedure="false">'Phieu khao sat'!$9:$9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<sst xmlns="http://schemas.openxmlformats.org/spreadsheetml/2006/main" count="816" uniqueCount="427">
  <si>
    <t xml:space="preserve">CÔNG TY TNHH KỸ NGHỆ LÂM VIỆT PHÁT (LAVIPCO)</t>
  </si>
  <si>
    <t xml:space="preserve">PHIẾU KHẢO SÁT HIỆN TRƯỜNG – BỔ SUNG CHIẾU SÁNG &amp; MẢNG XANH CÔNG CỘNG</t>
  </si>
  <si>
    <t xml:space="preserve">Tại các trụ dừng, nhà chờ xe buýt và khu vực người đi bộ – Khu vực trung tâm Thành phố Hồ Chí Minh</t>
  </si>
  <si>
    <t xml:space="preserve">Căn cứ: CV số 3471/TTGTHTKT-CXCS1 ngày 22/6/2026 và Phụ lục danh mục 107 vị trí của Trung tâm Quản lý Giao thông công cộng (Sở Xây dựng TP.HCM)</t>
  </si>
  <si>
    <t xml:space="preserve">Đơn vị khảo sát: .......................................</t>
  </si>
  <si>
    <t xml:space="preserve">Người khảo sát: .......................................</t>
  </si>
  <si>
    <t xml:space="preserve">Ngày khảo sát: ......./......./2026</t>
  </si>
  <si>
    <t xml:space="preserve">Thiết bị định vị: .......................................</t>
  </si>
  <si>
    <t xml:space="preserve">I. THÔNG TIN ĐIỂM DỪNG (theo Phụ lục)</t>
  </si>
  <si>
    <t xml:space="preserve">II. KẾT QUẢ KHẢO SÁT HIỆN TRƯỜNG (điền tại thực địa)</t>
  </si>
  <si>
    <t xml:space="preserve">STT</t>
  </si>
  <si>
    <t xml:space="preserve">Địa bàn</t>
  </si>
  <si>
    <t xml:space="preserve">Mã điểm dừng</t>
  </si>
  <si>
    <t xml:space="preserve">Tên điểm dừng</t>
  </si>
  <si>
    <t xml:space="preserve">Tuyến đường</t>
  </si>
  <si>
    <t xml:space="preserve">Số nhà / Vị trí</t>
  </si>
  <si>
    <t xml:space="preserve">Phường / Xã</t>
  </si>
  <si>
    <t xml:space="preserve">Loại kết cấu</t>
  </si>
  <si>
    <t xml:space="preserve">Ghi chú (gốc)</t>
  </si>
  <si>
    <t xml:space="preserve">Vĩ độ
(Latitude)</t>
  </si>
  <si>
    <t xml:space="preserve">Kinh độ
(Longitude)</t>
  </si>
  <si>
    <t xml:space="preserve">Hiện trạng
chiếu sáng</t>
  </si>
  <si>
    <t xml:space="preserve">Hiện trạng
mảng xanh</t>
  </si>
  <si>
    <t xml:space="preserve">Khoảng cách
nguồn điện (m)</t>
  </si>
  <si>
    <t xml:space="preserve">Đề xuất bổ sung CHIẾU SÁNG
(loại đèn / số lượng)</t>
  </si>
  <si>
    <t xml:space="preserve">Đề xuất bổ sung MẢNG XANH
(loại cây / số lượng)</t>
  </si>
  <si>
    <t xml:space="preserve">Mức độ
ưu tiên</t>
  </si>
  <si>
    <t xml:space="preserve">Ghi chú khảo sát</t>
  </si>
  <si>
    <t xml:space="preserve">Hình ảnh
(tham chiếu)</t>
  </si>
  <si>
    <t xml:space="preserve">Người
khảo sát</t>
  </si>
  <si>
    <t xml:space="preserve">Ngày
khảo sát</t>
  </si>
  <si>
    <t xml:space="preserve">Quận 1</t>
  </si>
  <si>
    <t xml:space="preserve">Q1 135</t>
  </si>
  <si>
    <t xml:space="preserve">Bệnh Viện Răng Hàm Mặt</t>
  </si>
  <si>
    <t xml:space="preserve">Trần Hưng Đạo</t>
  </si>
  <si>
    <t xml:space="preserve">263</t>
  </si>
  <si>
    <t xml:space="preserve">Cầu Ông Lãnh</t>
  </si>
  <si>
    <t xml:space="preserve">Nhà chờ</t>
  </si>
  <si>
    <t xml:space="preserve">Q1 136</t>
  </si>
  <si>
    <t xml:space="preserve">Rạp Trần Hưng Đạo</t>
  </si>
  <si>
    <t xml:space="preserve">227-229 (255)</t>
  </si>
  <si>
    <t xml:space="preserve">Q1 142</t>
  </si>
  <si>
    <t xml:space="preserve">Trường Lê Hồng Phong</t>
  </si>
  <si>
    <t xml:space="preserve">Nguyễn Văn Cừ</t>
  </si>
  <si>
    <t xml:space="preserve">Đối diện số 235</t>
  </si>
  <si>
    <t xml:space="preserve">Q1 187</t>
  </si>
  <si>
    <t xml:space="preserve">Khách sạn New World</t>
  </si>
  <si>
    <t xml:space="preserve">Lê Lai</t>
  </si>
  <si>
    <t xml:space="preserve">76</t>
  </si>
  <si>
    <t xml:space="preserve">Bến Thành</t>
  </si>
  <si>
    <t xml:space="preserve">Q1 103</t>
  </si>
  <si>
    <t xml:space="preserve">Sân vận động Tao Đàn</t>
  </si>
  <si>
    <t xml:space="preserve">Huyền Trân Công Chúa</t>
  </si>
  <si>
    <t xml:space="preserve">3</t>
  </si>
  <si>
    <t xml:space="preserve">Q1 041</t>
  </si>
  <si>
    <t xml:space="preserve">Tôn Thất Tùng</t>
  </si>
  <si>
    <t xml:space="preserve">Đối diện 204</t>
  </si>
  <si>
    <t xml:space="preserve">Q1 049</t>
  </si>
  <si>
    <t xml:space="preserve">Bệnh viện Đa khoa Sài Gòn</t>
  </si>
  <si>
    <t xml:space="preserve">Lê Lợi</t>
  </si>
  <si>
    <t xml:space="preserve">106</t>
  </si>
  <si>
    <t xml:space="preserve">Q1 080</t>
  </si>
  <si>
    <t xml:space="preserve">Lý Tự Trọng</t>
  </si>
  <si>
    <t xml:space="preserve">Pasteur</t>
  </si>
  <si>
    <t xml:space="preserve">158</t>
  </si>
  <si>
    <t xml:space="preserve">Sài Gòn</t>
  </si>
  <si>
    <t xml:space="preserve">Q1 081</t>
  </si>
  <si>
    <t xml:space="preserve">Lê Duẩn</t>
  </si>
  <si>
    <t xml:space="preserve">178</t>
  </si>
  <si>
    <t xml:space="preserve">Trụ dừng</t>
  </si>
  <si>
    <t xml:space="preserve">Dự án lắp đặt nhà chờ</t>
  </si>
  <si>
    <t xml:space="preserve">Q1 032</t>
  </si>
  <si>
    <t xml:space="preserve">Nguyễn Hữu Cảnh</t>
  </si>
  <si>
    <t xml:space="preserve">Cây xanh số 17</t>
  </si>
  <si>
    <t xml:space="preserve">Q1 053</t>
  </si>
  <si>
    <t xml:space="preserve">Phố đi bộ Nguyễn Huệ</t>
  </si>
  <si>
    <t xml:space="preserve">Nguyễn Huệ</t>
  </si>
  <si>
    <t xml:space="preserve">10-12</t>
  </si>
  <si>
    <t xml:space="preserve">Q1 054</t>
  </si>
  <si>
    <t xml:space="preserve">92-96</t>
  </si>
  <si>
    <t xml:space="preserve">Q1 055</t>
  </si>
  <si>
    <t xml:space="preserve">Đối diện 92-96</t>
  </si>
  <si>
    <t xml:space="preserve">Q1 033</t>
  </si>
  <si>
    <t xml:space="preserve">Mầm non Hoa Lư</t>
  </si>
  <si>
    <t xml:space="preserve">2A</t>
  </si>
  <si>
    <t xml:space="preserve">Trụ dừng loại 4S</t>
  </si>
  <si>
    <t xml:space="preserve">Q1 084</t>
  </si>
  <si>
    <t xml:space="preserve">Khách sạn Sofitel</t>
  </si>
  <si>
    <t xml:space="preserve">Sofitel Plaza</t>
  </si>
  <si>
    <t xml:space="preserve">Trụ dừng loại 3</t>
  </si>
  <si>
    <t xml:space="preserve">Q1 085</t>
  </si>
  <si>
    <t xml:space="preserve">Đối diện Central Plaza</t>
  </si>
  <si>
    <t xml:space="preserve">Trụ dừng loại 1</t>
  </si>
  <si>
    <t xml:space="preserve">Q1 086</t>
  </si>
  <si>
    <t xml:space="preserve">Diamond Plaza</t>
  </si>
  <si>
    <t xml:space="preserve">34</t>
  </si>
  <si>
    <t xml:space="preserve">Q1 202</t>
  </si>
  <si>
    <t xml:space="preserve">Bảo tàng Lịch sử Việt Nam</t>
  </si>
  <si>
    <t xml:space="preserve">Cây xanh số 16</t>
  </si>
  <si>
    <t xml:space="preserve">Q1 163</t>
  </si>
  <si>
    <t xml:space="preserve">Trường TH Chương Dương</t>
  </si>
  <si>
    <t xml:space="preserve">Võ Văn Kiệt</t>
  </si>
  <si>
    <t xml:space="preserve">490</t>
  </si>
  <si>
    <t xml:space="preserve">Q1 172</t>
  </si>
  <si>
    <t xml:space="preserve">Trung tâm VinCom</t>
  </si>
  <si>
    <t xml:space="preserve">Đồng Khởi</t>
  </si>
  <si>
    <t xml:space="preserve">150</t>
  </si>
  <si>
    <t xml:space="preserve">Ô sơn</t>
  </si>
  <si>
    <t xml:space="preserve">Q1 199</t>
  </si>
  <si>
    <t xml:space="preserve">Sở Giao dịch chứng khoán</t>
  </si>
  <si>
    <t xml:space="preserve">Nguyễn Công Trứ</t>
  </si>
  <si>
    <t xml:space="preserve">Đối diện 162-164</t>
  </si>
  <si>
    <t xml:space="preserve">Q1 105</t>
  </si>
  <si>
    <t xml:space="preserve">Chùa Bà Ấn</t>
  </si>
  <si>
    <t xml:space="preserve">Trương Định</t>
  </si>
  <si>
    <t xml:space="preserve">42</t>
  </si>
  <si>
    <t xml:space="preserve">Trụ dừng loại 4</t>
  </si>
  <si>
    <t xml:space="preserve">Q1 162</t>
  </si>
  <si>
    <t xml:space="preserve">Chợ Nga</t>
  </si>
  <si>
    <t xml:space="preserve">324</t>
  </si>
  <si>
    <t xml:space="preserve">Quận 3</t>
  </si>
  <si>
    <t xml:space="preserve">Q3 118</t>
  </si>
  <si>
    <t xml:space="preserve">Ga Hòa Hưng</t>
  </si>
  <si>
    <t xml:space="preserve">Nguyễn Thông</t>
  </si>
  <si>
    <t xml:space="preserve">1</t>
  </si>
  <si>
    <t xml:space="preserve">Nhiêu Lộc</t>
  </si>
  <si>
    <t xml:space="preserve">Q3 048</t>
  </si>
  <si>
    <t xml:space="preserve">Viện Pasteur</t>
  </si>
  <si>
    <t xml:space="preserve">Nam Kỳ Khởi Nghĩa</t>
  </si>
  <si>
    <t xml:space="preserve">252 (Đối diện 175)</t>
  </si>
  <si>
    <t xml:space="preserve">Xuân Hòa</t>
  </si>
  <si>
    <t xml:space="preserve">Nhà chờ 1876S</t>
  </si>
  <si>
    <t xml:space="preserve">Q3 054</t>
  </si>
  <si>
    <t xml:space="preserve">179</t>
  </si>
  <si>
    <t xml:space="preserve">Q3 105</t>
  </si>
  <si>
    <t xml:space="preserve">Sân Phan Đình Phùng</t>
  </si>
  <si>
    <t xml:space="preserve">Võ Văn Tần</t>
  </si>
  <si>
    <t xml:space="preserve">8</t>
  </si>
  <si>
    <t xml:space="preserve">Nhà chờ 2666S</t>
  </si>
  <si>
    <t xml:space="preserve">Q3 036</t>
  </si>
  <si>
    <t xml:space="preserve">Nhà thờ Dòng chúa Cứu thế</t>
  </si>
  <si>
    <t xml:space="preserve">Kỳ Đồng</t>
  </si>
  <si>
    <t xml:space="preserve">38</t>
  </si>
  <si>
    <t xml:space="preserve">Quận 4</t>
  </si>
  <si>
    <t xml:space="preserve">Q4 003</t>
  </si>
  <si>
    <t xml:space="preserve">Trung tâm văn hóa Quận 4</t>
  </si>
  <si>
    <t xml:space="preserve">Bến Vân Đồn</t>
  </si>
  <si>
    <t xml:space="preserve">Đối diện 226</t>
  </si>
  <si>
    <t xml:space="preserve">Vĩnh Hội</t>
  </si>
  <si>
    <t xml:space="preserve">Q4 004</t>
  </si>
  <si>
    <t xml:space="preserve">Nguyễn Khoái</t>
  </si>
  <si>
    <t xml:space="preserve">Đối diện 310</t>
  </si>
  <si>
    <t xml:space="preserve">Q4 012</t>
  </si>
  <si>
    <t xml:space="preserve">Trường THCS Vân Đồn</t>
  </si>
  <si>
    <t xml:space="preserve">Hoàng Diệu</t>
  </si>
  <si>
    <t xml:space="preserve">243</t>
  </si>
  <si>
    <t xml:space="preserve">Xóm Chiếu</t>
  </si>
  <si>
    <t xml:space="preserve">Q4 015</t>
  </si>
  <si>
    <t xml:space="preserve">Hồ Bơi Quận 4</t>
  </si>
  <si>
    <t xml:space="preserve">Khánh Hội</t>
  </si>
  <si>
    <t xml:space="preserve">120-122</t>
  </si>
  <si>
    <t xml:space="preserve">Q4 024</t>
  </si>
  <si>
    <t xml:space="preserve">Trung tâm Giáo dục thường xuyên Quận 4</t>
  </si>
  <si>
    <t xml:space="preserve">9</t>
  </si>
  <si>
    <t xml:space="preserve">Quận 5</t>
  </si>
  <si>
    <t xml:space="preserve">Q5 010</t>
  </si>
  <si>
    <t xml:space="preserve">Đại học Sài Gòn</t>
  </si>
  <si>
    <t xml:space="preserve">An Dương Vương</t>
  </si>
  <si>
    <t xml:space="preserve">273-275</t>
  </si>
  <si>
    <t xml:space="preserve">Phường Chợ Quán</t>
  </si>
  <si>
    <t xml:space="preserve">Q5 001</t>
  </si>
  <si>
    <t xml:space="preserve">Đại học Sư Phạm</t>
  </si>
  <si>
    <t xml:space="preserve">280</t>
  </si>
  <si>
    <t xml:space="preserve">Q5 004</t>
  </si>
  <si>
    <t xml:space="preserve">Chợ An Đông</t>
  </si>
  <si>
    <t xml:space="preserve">Đối diện số 3</t>
  </si>
  <si>
    <t xml:space="preserve">Phường An Đông</t>
  </si>
  <si>
    <t xml:space="preserve">Q5 012</t>
  </si>
  <si>
    <t xml:space="preserve">Rạp Đại Quang</t>
  </si>
  <si>
    <t xml:space="preserve">Châu Văn Liêm</t>
  </si>
  <si>
    <t xml:space="preserve">68</t>
  </si>
  <si>
    <t xml:space="preserve">Phường Chợ Lớn</t>
  </si>
  <si>
    <t xml:space="preserve">Q5 013</t>
  </si>
  <si>
    <t xml:space="preserve">81</t>
  </si>
  <si>
    <t xml:space="preserve">Q5 017</t>
  </si>
  <si>
    <t xml:space="preserve">Bệnh viện Phạm Ngọc Thạch</t>
  </si>
  <si>
    <t xml:space="preserve">Hồng Bàng</t>
  </si>
  <si>
    <t xml:space="preserve">120</t>
  </si>
  <si>
    <t xml:space="preserve">Q5 018</t>
  </si>
  <si>
    <t xml:space="preserve">Hùng Vương Plaza</t>
  </si>
  <si>
    <t xml:space="preserve">132</t>
  </si>
  <si>
    <t xml:space="preserve">Q5 026</t>
  </si>
  <si>
    <t xml:space="preserve">Đại học Y Dược</t>
  </si>
  <si>
    <t xml:space="preserve">217</t>
  </si>
  <si>
    <t xml:space="preserve">Q5 034</t>
  </si>
  <si>
    <t xml:space="preserve">Bệnh viện Hùng Vương</t>
  </si>
  <si>
    <t xml:space="preserve">Lý Thường Kiệt</t>
  </si>
  <si>
    <t xml:space="preserve">Hông Bệnh viện Hùng Vương</t>
  </si>
  <si>
    <t xml:space="preserve">Q5 046</t>
  </si>
  <si>
    <t xml:space="preserve">Trường Kinh tế Công nghệ</t>
  </si>
  <si>
    <t xml:space="preserve">Nguyễn Chí Thanh</t>
  </si>
  <si>
    <t xml:space="preserve">131</t>
  </si>
  <si>
    <t xml:space="preserve">Q5 045</t>
  </si>
  <si>
    <t xml:space="preserve">Chung cư 155 Nguyễn Chí Thanh</t>
  </si>
  <si>
    <t xml:space="preserve">153-155</t>
  </si>
  <si>
    <t xml:space="preserve">Q5 043</t>
  </si>
  <si>
    <t xml:space="preserve">Bệnh viện Chợ Rẫy</t>
  </si>
  <si>
    <t xml:space="preserve">201A</t>
  </si>
  <si>
    <t xml:space="preserve">Q5 048</t>
  </si>
  <si>
    <t xml:space="preserve">Trường Đại học Sài Gòn</t>
  </si>
  <si>
    <t xml:space="preserve">Nguyễn Trãi</t>
  </si>
  <si>
    <t xml:space="preserve">4</t>
  </si>
  <si>
    <t xml:space="preserve">Q5 061</t>
  </si>
  <si>
    <t xml:space="preserve">Bệnh viện Nguyễn Tri Phương</t>
  </si>
  <si>
    <t xml:space="preserve">493</t>
  </si>
  <si>
    <t xml:space="preserve">Q5 057</t>
  </si>
  <si>
    <t xml:space="preserve">Đại học Sư phạm Thể dục thể thao</t>
  </si>
  <si>
    <t xml:space="preserve">639</t>
  </si>
  <si>
    <t xml:space="preserve">Q5 052</t>
  </si>
  <si>
    <t xml:space="preserve">Đối diện 493</t>
  </si>
  <si>
    <t xml:space="preserve">Q5 070</t>
  </si>
  <si>
    <t xml:space="preserve">Trường Trần Khai Nguyên</t>
  </si>
  <si>
    <t xml:space="preserve">Nguyễn Tri Phương</t>
  </si>
  <si>
    <t xml:space="preserve">225</t>
  </si>
  <si>
    <t xml:space="preserve">Q5 067</t>
  </si>
  <si>
    <t xml:space="preserve">Đối diện 153</t>
  </si>
  <si>
    <t xml:space="preserve">Q5 074</t>
  </si>
  <si>
    <t xml:space="preserve">Đại học Khoa học Tự nhiên</t>
  </si>
  <si>
    <t xml:space="preserve">227</t>
  </si>
  <si>
    <t xml:space="preserve">Q5 073</t>
  </si>
  <si>
    <t xml:space="preserve">Trường THPT Lê Hồng Phong</t>
  </si>
  <si>
    <t xml:space="preserve">235</t>
  </si>
  <si>
    <t xml:space="preserve">Q5 082</t>
  </si>
  <si>
    <t xml:space="preserve">Thuận Kiều</t>
  </si>
  <si>
    <t xml:space="preserve">Đối diện 30-32</t>
  </si>
  <si>
    <t xml:space="preserve">Q5 081</t>
  </si>
  <si>
    <t xml:space="preserve">Đối diện 59C</t>
  </si>
  <si>
    <t xml:space="preserve">Q5 084</t>
  </si>
  <si>
    <t xml:space="preserve">Trường Cao đẳng Kinh tế Đối ngoại</t>
  </si>
  <si>
    <t xml:space="preserve">520</t>
  </si>
  <si>
    <t xml:space="preserve">Q5 086</t>
  </si>
  <si>
    <t xml:space="preserve">Bệnh viện Chấn thương Chỉnh hình</t>
  </si>
  <si>
    <t xml:space="preserve">696</t>
  </si>
  <si>
    <t xml:space="preserve">Q5 036</t>
  </si>
  <si>
    <t xml:space="preserve">Ngô Gia Tự</t>
  </si>
  <si>
    <t xml:space="preserve">500</t>
  </si>
  <si>
    <t xml:space="preserve">Q5 035</t>
  </si>
  <si>
    <t xml:space="preserve">Trung tâm giáo dục thường xuyên</t>
  </si>
  <si>
    <t xml:space="preserve">546</t>
  </si>
  <si>
    <t xml:space="preserve">Q5 105</t>
  </si>
  <si>
    <t xml:space="preserve">Bệnh viện Nhiệt Đới</t>
  </si>
  <si>
    <t xml:space="preserve">764</t>
  </si>
  <si>
    <t xml:space="preserve">Q5 106</t>
  </si>
  <si>
    <t xml:space="preserve">Chợ Hòa Bình</t>
  </si>
  <si>
    <t xml:space="preserve">794</t>
  </si>
  <si>
    <t xml:space="preserve">Q5 113</t>
  </si>
  <si>
    <t xml:space="preserve">Đối diện 764</t>
  </si>
  <si>
    <t xml:space="preserve">Q5 021</t>
  </si>
  <si>
    <t xml:space="preserve">Dương Tử Giang</t>
  </si>
  <si>
    <t xml:space="preserve">Đối diện 455-457</t>
  </si>
  <si>
    <t xml:space="preserve">Quận 6</t>
  </si>
  <si>
    <t xml:space="preserve">Q6 047</t>
  </si>
  <si>
    <t xml:space="preserve">Công Viên Phú Lâm</t>
  </si>
  <si>
    <t xml:space="preserve">Kinh Dương Vương</t>
  </si>
  <si>
    <t xml:space="preserve">Đối diện 907</t>
  </si>
  <si>
    <t xml:space="preserve">Phường Phú Lâm</t>
  </si>
  <si>
    <t xml:space="preserve">Q6 068</t>
  </si>
  <si>
    <t xml:space="preserve">Trường Cao đẳng Kinh tế Kỹ thuật TP.HCM</t>
  </si>
  <si>
    <t xml:space="preserve">Nguyễn Văn Luông</t>
  </si>
  <si>
    <t xml:space="preserve">Đối diện 220</t>
  </si>
  <si>
    <t xml:space="preserve">Phường Bình Phú</t>
  </si>
  <si>
    <t xml:space="preserve">Quận 10</t>
  </si>
  <si>
    <t xml:space="preserve">Q10 011</t>
  </si>
  <si>
    <t xml:space="preserve">Bệnh viện Nhi Đồng 1</t>
  </si>
  <si>
    <t xml:space="preserve">Ba Tháng Hai</t>
  </si>
  <si>
    <t xml:space="preserve">Đối diện 350</t>
  </si>
  <si>
    <t xml:space="preserve">Vườn Lài</t>
  </si>
  <si>
    <t xml:space="preserve">Q10 055</t>
  </si>
  <si>
    <t xml:space="preserve">Đại học Bách Khoa</t>
  </si>
  <si>
    <t xml:space="preserve">268</t>
  </si>
  <si>
    <t xml:space="preserve">Diên Hồng</t>
  </si>
  <si>
    <t xml:space="preserve">Q10 050</t>
  </si>
  <si>
    <t xml:space="preserve">Nhà máy Bia Sài Gòn</t>
  </si>
  <si>
    <t xml:space="preserve">Đối diện Nhà máy bia Sài Gòn</t>
  </si>
  <si>
    <t xml:space="preserve">Q10 060</t>
  </si>
  <si>
    <t xml:space="preserve">Bệnh viện Trưng Vương</t>
  </si>
  <si>
    <t xml:space="preserve">Tô Hiến Thành</t>
  </si>
  <si>
    <t xml:space="preserve">142 (kios 37,38)</t>
  </si>
  <si>
    <t xml:space="preserve">Q10 064</t>
  </si>
  <si>
    <t xml:space="preserve">Bệnh viện 115</t>
  </si>
  <si>
    <t xml:space="preserve">Thành Thái</t>
  </si>
  <si>
    <t xml:space="preserve">84</t>
  </si>
  <si>
    <t xml:space="preserve">Hoà Hưng</t>
  </si>
  <si>
    <t xml:space="preserve">Q10 020</t>
  </si>
  <si>
    <t xml:space="preserve">Chợ Lê Hồng Phong</t>
  </si>
  <si>
    <t xml:space="preserve">Lê Hồng Phong</t>
  </si>
  <si>
    <t xml:space="preserve">419</t>
  </si>
  <si>
    <t xml:space="preserve">Quận Tân Bình</t>
  </si>
  <si>
    <t xml:space="preserve">QTB 014</t>
  </si>
  <si>
    <t xml:space="preserve">Sông Đáy</t>
  </si>
  <si>
    <t xml:space="preserve">Trường Sơn</t>
  </si>
  <si>
    <t xml:space="preserve">Hông số 2 Sông Đáy</t>
  </si>
  <si>
    <t xml:space="preserve">Tân Sơn Hòa</t>
  </si>
  <si>
    <t xml:space="preserve">QTB 157</t>
  </si>
  <si>
    <t xml:space="preserve">Vòng xoay Nguyễn Thái Sơn</t>
  </si>
  <si>
    <t xml:space="preserve">Hồng Hà</t>
  </si>
  <si>
    <t xml:space="preserve">TP. Thủ Đức - KV1</t>
  </si>
  <si>
    <t xml:space="preserve">Q2 106</t>
  </si>
  <si>
    <t xml:space="preserve">Tòa nhà Somerset</t>
  </si>
  <si>
    <t xml:space="preserve">Phan Văn Đáng</t>
  </si>
  <si>
    <t xml:space="preserve">Cát Lái</t>
  </si>
  <si>
    <t xml:space="preserve">Q2 107</t>
  </si>
  <si>
    <t xml:space="preserve">UBND Thành phố Thủ Đức</t>
  </si>
  <si>
    <t xml:space="preserve">Đối diện toà nhà Somerset</t>
  </si>
  <si>
    <t xml:space="preserve">TP. Thủ Đức - KV3</t>
  </si>
  <si>
    <t xml:space="preserve">HCM 0020</t>
  </si>
  <si>
    <t xml:space="preserve">Trường Đại học Khoa học Sức khoẻ</t>
  </si>
  <si>
    <t xml:space="preserve">Lê Quý Đôn</t>
  </si>
  <si>
    <t xml:space="preserve">Đông Hòa</t>
  </si>
  <si>
    <t xml:space="preserve">HCM 0019</t>
  </si>
  <si>
    <t xml:space="preserve">Trung tâm Giáo dục Quốc phòng và An ninh</t>
  </si>
  <si>
    <t xml:space="preserve">Cách cổng Trung tâm GDQP&amp;AN 60m</t>
  </si>
  <si>
    <t xml:space="preserve">HCM 0022</t>
  </si>
  <si>
    <t xml:space="preserve">Trung tâm GD Quốc phòng và An ninh (cổng Nguyễn Du)</t>
  </si>
  <si>
    <t xml:space="preserve">Nguyễn Du</t>
  </si>
  <si>
    <t xml:space="preserve">Đối diện cổng sau Trung tâm GDQP&amp;AN</t>
  </si>
  <si>
    <t xml:space="preserve">HCM 0021</t>
  </si>
  <si>
    <t xml:space="preserve">Cách cổng sau Trung tâm GDQP&amp;AN 30m</t>
  </si>
  <si>
    <t xml:space="preserve">HCM 0023</t>
  </si>
  <si>
    <t xml:space="preserve">Trung Tâm Đào tạo lái xe Đồng An</t>
  </si>
  <si>
    <t xml:space="preserve">Thống Nhất</t>
  </si>
  <si>
    <t xml:space="preserve">Gần 300 (cổng TT Đào tạo lái xe Đồng An)</t>
  </si>
  <si>
    <t xml:space="preserve">HCM 0025</t>
  </si>
  <si>
    <t xml:space="preserve">Khu dân cư Bình Nguyên</t>
  </si>
  <si>
    <t xml:space="preserve">Gần cổng chào KDC Bình Nguyên</t>
  </si>
  <si>
    <t xml:space="preserve">HCM 0026</t>
  </si>
  <si>
    <t xml:space="preserve">Đối diện cổng chào KDC Bình Nguyên</t>
  </si>
  <si>
    <t xml:space="preserve">HCM 0024</t>
  </si>
  <si>
    <t xml:space="preserve">Đối diện cổng TT Đào tạo lái xe Đồng An</t>
  </si>
  <si>
    <t xml:space="preserve">Q2 072</t>
  </si>
  <si>
    <t xml:space="preserve">Thảo Điền</t>
  </si>
  <si>
    <t xml:space="preserve">Võ Nguyên Giáp</t>
  </si>
  <si>
    <t xml:space="preserve">Đối diện ngã 3 Thảo Điền</t>
  </si>
  <si>
    <t xml:space="preserve">Bình Trưng</t>
  </si>
  <si>
    <t xml:space="preserve">Q2 075</t>
  </si>
  <si>
    <t xml:space="preserve">Đối diện Esstella</t>
  </si>
  <si>
    <t xml:space="preserve">An Khánh</t>
  </si>
  <si>
    <t xml:space="preserve">Q2 076</t>
  </si>
  <si>
    <t xml:space="preserve">Metro Quận 2</t>
  </si>
  <si>
    <t xml:space="preserve">655</t>
  </si>
  <si>
    <t xml:space="preserve">Q2 077</t>
  </si>
  <si>
    <t xml:space="preserve">Ngã ba Thảo Điền</t>
  </si>
  <si>
    <t xml:space="preserve">Q2 078</t>
  </si>
  <si>
    <t xml:space="preserve">Cầu Đen</t>
  </si>
  <si>
    <t xml:space="preserve">Đối diện Cầu Đen</t>
  </si>
  <si>
    <t xml:space="preserve">Q2 110</t>
  </si>
  <si>
    <t xml:space="preserve">Trung tâm Quản lý điều hành giao thông đô thị</t>
  </si>
  <si>
    <t xml:space="preserve">Mai Chí Thọ</t>
  </si>
  <si>
    <t xml:space="preserve">Cây xanh 24-26</t>
  </si>
  <si>
    <t xml:space="preserve">Nhà chờ 6180</t>
  </si>
  <si>
    <t xml:space="preserve">Q2 111</t>
  </si>
  <si>
    <t xml:space="preserve">Cây xanh 17-19</t>
  </si>
  <si>
    <t xml:space="preserve">Q2 083</t>
  </si>
  <si>
    <t xml:space="preserve">Khu đô thị Sala</t>
  </si>
  <si>
    <t xml:space="preserve">Đối diện KĐT Sala</t>
  </si>
  <si>
    <t xml:space="preserve">Q2 084</t>
  </si>
  <si>
    <t xml:space="preserve">TP. Thủ Đức - KV2</t>
  </si>
  <si>
    <t xml:space="preserve">Q9 210</t>
  </si>
  <si>
    <t xml:space="preserve">Xi măng Hà Tiên - trạm thu phí</t>
  </si>
  <si>
    <t xml:space="preserve">249B</t>
  </si>
  <si>
    <t xml:space="preserve">Phước Long</t>
  </si>
  <si>
    <t xml:space="preserve">Q9 213</t>
  </si>
  <si>
    <t xml:space="preserve">Khu QLGTĐT số 2</t>
  </si>
  <si>
    <t xml:space="preserve">Q9 220</t>
  </si>
  <si>
    <t xml:space="preserve">Khu Công nghệ Cao</t>
  </si>
  <si>
    <t xml:space="preserve">Xa Lộ Hà Nội</t>
  </si>
  <si>
    <t xml:space="preserve">Khu công nghệ cao</t>
  </si>
  <si>
    <t xml:space="preserve">Tăng Nhơn Phú</t>
  </si>
  <si>
    <t xml:space="preserve">QTD 075</t>
  </si>
  <si>
    <t xml:space="preserve">Đối diện Khu Công Nghệ Cao Q.9</t>
  </si>
  <si>
    <t xml:space="preserve">Linh Xuân</t>
  </si>
  <si>
    <t xml:space="preserve">QTD 076</t>
  </si>
  <si>
    <t xml:space="preserve">Công ty Cocacola</t>
  </si>
  <si>
    <t xml:space="preserve">Thủ Đức</t>
  </si>
  <si>
    <t xml:space="preserve">QTD 077</t>
  </si>
  <si>
    <t xml:space="preserve">Ngã tư Thủ Đức</t>
  </si>
  <si>
    <t xml:space="preserve">Đối diện Coopmart</t>
  </si>
  <si>
    <t xml:space="preserve">QTD 079</t>
  </si>
  <si>
    <t xml:space="preserve">UBND Quận 9</t>
  </si>
  <si>
    <t xml:space="preserve">126</t>
  </si>
  <si>
    <t xml:space="preserve">QTD 080</t>
  </si>
  <si>
    <t xml:space="preserve">Ngã 4 Bình Thái</t>
  </si>
  <si>
    <t xml:space="preserve">Đối diện 592C</t>
  </si>
  <si>
    <t xml:space="preserve">QTD 081</t>
  </si>
  <si>
    <t xml:space="preserve">Công ty truyền tải điện 4</t>
  </si>
  <si>
    <t xml:space="preserve">QTD 082</t>
  </si>
  <si>
    <t xml:space="preserve">Ngã 4 Tây Hòa (RMK)</t>
  </si>
  <si>
    <t xml:space="preserve">Nhà máy thép Thủ Đức</t>
  </si>
  <si>
    <t xml:space="preserve">QTD 083</t>
  </si>
  <si>
    <t xml:space="preserve">Xi măng Hà Tiên</t>
  </si>
  <si>
    <t xml:space="preserve">Xi măng Hà Tiên 1</t>
  </si>
  <si>
    <t xml:space="preserve">TPTĐ 224</t>
  </si>
  <si>
    <t xml:space="preserve">Ga metro Thủ Đức</t>
  </si>
  <si>
    <t xml:space="preserve">Cạnh ga metro Thủ Đức</t>
  </si>
  <si>
    <t xml:space="preserve">TPTĐ 225</t>
  </si>
  <si>
    <t xml:space="preserve">Đối diện ga metro Thủ Đức</t>
  </si>
  <si>
    <t xml:space="preserve">Bình Thạnh</t>
  </si>
  <si>
    <t xml:space="preserve">QBTH</t>
  </si>
  <si>
    <t xml:space="preserve">Tân Cảng</t>
  </si>
  <si>
    <t xml:space="preserve">220</t>
  </si>
  <si>
    <t xml:space="preserve">Thạnh Mỹ Tây</t>
  </si>
  <si>
    <t xml:space="preserve">TỔNG HỢP NHANH (tự động cập nhật khi điền dữ liệu)</t>
  </si>
  <si>
    <t xml:space="preserve">Tổng số vị trí trong danh mục:</t>
  </si>
  <si>
    <t xml:space="preserve">Số vị trí đã khảo sát (đã điền hiện trạng CS):</t>
  </si>
  <si>
    <t xml:space="preserve">Số vị trí cần bổ sung chiếu sáng (Thiếu/Yếu, Hư hỏng, Không có):</t>
  </si>
  <si>
    <t xml:space="preserve">Số vị trí cần bổ sung mảng xanh (Cần bổ sung, Không có):</t>
  </si>
  <si>
    <t xml:space="preserve">Số vị trí ưu tiên CAO:</t>
  </si>
  <si>
    <t xml:space="preserve">HƯỚNG DẪN GHI PHIẾU:</t>
  </si>
  <si>
    <t xml:space="preserve">• Vĩ độ / Kinh độ: lấy bằng GPS điện thoại hoặc Google Maps, định dạng thập phân (vd: 10.776530 / 106.700981).</t>
  </si>
  <si>
    <t xml:space="preserve">• Hiện trạng chiếu sáng / mảng xanh: chọn từ danh sách thả xuống trong ô.</t>
  </si>
  <si>
    <t xml:space="preserve">• Khoảng cách nguồn điện: ước lượng khoảng cách (m) tới tủ điện / trụ đèn / nguồn cấp gần nhất.</t>
  </si>
  <si>
    <t xml:space="preserve">• Đề xuất bổ sung: ghi rõ loại đèn (LED, công suất W) và số lượng; loại cây xanh và số lượng dự kiến.</t>
  </si>
  <si>
    <t xml:space="preserve">• Hình ảnh: ghi tên/số thứ tự file ảnh chụp tại hiện trường để đối chiếu.</t>
  </si>
  <si>
    <t xml:space="preserve">• Mức độ ưu tiên: Cao = mất an toàn / tối nghiêm trọng; Trung bình; Thấp.</t>
  </si>
  <si>
    <t xml:space="preserve">NGƯỜI KHẢO SÁT</t>
  </si>
  <si>
    <t xml:space="preserve">XÁC NHẬN ĐƠN VỊ</t>
  </si>
  <si>
    <t xml:space="preserve">(Ký, ghi rõ họ tên)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</si>
</sst>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Times New Roman"/>
      <family val="0"/>
      <charset val="1"/>
    </font>
    <font>
      <b val="true"/>
      <sz val="15"/>
      <color rgb="FF2E5496"/>
      <name val="Times New Roman"/>
      <family val="0"/>
      <charset val="1"/>
    </font>
    <font>
      <i val="true"/>
      <sz val="11"/>
      <color rgb="FF595959"/>
      <name val="Times New Roman"/>
      <family val="0"/>
      <charset val="1"/>
    </font>
    <font>
      <i val="true"/>
      <sz val="10"/>
      <color rgb="FF595959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0"/>
      <color rgb="FF1F3864"/>
      <name val="Times New Roman"/>
      <family val="0"/>
      <charset val="1"/>
    </font>
    <font>
      <b val="true"/>
      <sz val="10"/>
      <color rgb="FF548235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2E5496"/>
      <name val="Times New Roman"/>
      <family val="0"/>
      <charset val="1"/>
    </font>
    <font>
      <sz val="10"/>
      <color rgb="FF40404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i val="true"/>
      <sz val="9"/>
      <color rgb="FF000000"/>
      <name val="Times New Roman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40404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3"/>
    <col collapsed="false" customWidth="true" hidden="false" outlineLevel="0" max="13" min="12" style="0" width="14"/>
    <col collapsed="false" customWidth="true" hidden="false" outlineLevel="0" max="14" min="14" style="0" width="13"/>
    <col collapsed="false" customWidth="true" hidden="false" outlineLevel="0" max="16" min="15" style="0" width="24"/>
    <col collapsed="false" customWidth="true" hidden="false" outlineLevel="0" max="17" min="17" style="0" width="11"/>
    <col collapsed="false" customWidth="true" hidden="false" outlineLevel="0" max="18" min="18" style="0" width="24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12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.5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6" customFormat="false" ht="15" hidden="false" customHeight="true" outlineLevel="0" collapsed="false">
      <c r="A6" s="5" t="s">
        <v>4</v>
      </c>
      <c r="B6" s="5"/>
      <c r="C6" s="5"/>
      <c r="D6" s="5"/>
      <c r="E6" s="5" t="s">
        <v>5</v>
      </c>
      <c r="F6" s="5"/>
      <c r="G6" s="5"/>
      <c r="H6" s="5"/>
      <c r="I6" s="5"/>
      <c r="J6" s="5" t="s">
        <v>6</v>
      </c>
      <c r="K6" s="5"/>
      <c r="L6" s="5"/>
      <c r="M6" s="5"/>
      <c r="N6" s="5"/>
      <c r="O6" s="5" t="s">
        <v>7</v>
      </c>
      <c r="P6" s="5"/>
      <c r="Q6" s="5"/>
      <c r="R6" s="5"/>
      <c r="S6" s="5"/>
      <c r="T6" s="5"/>
      <c r="U6" s="5"/>
    </row>
    <row r="8" customFormat="false" ht="15" hidden="false" customHeight="true" outlineLevel="0" collapsed="false">
      <c r="A8" s="6" t="s">
        <v>8</v>
      </c>
      <c r="B8" s="6"/>
      <c r="C8" s="6"/>
      <c r="D8" s="6"/>
      <c r="E8" s="6"/>
      <c r="F8" s="6"/>
      <c r="G8" s="6"/>
      <c r="H8" s="6"/>
      <c r="I8" s="6"/>
      <c r="J8" s="7" t="s">
        <v>9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customFormat="false" ht="42" hidden="false" customHeight="true" outlineLevel="0" collapsed="false">
      <c r="A9" s="8" t="s">
        <v>10</v>
      </c>
      <c r="B9" s="8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K9" s="9" t="s">
        <v>20</v>
      </c>
      <c r="L9" s="9" t="s">
        <v>21</v>
      </c>
      <c r="M9" s="9" t="s">
        <v>22</v>
      </c>
      <c r="N9" s="9" t="s">
        <v>23</v>
      </c>
      <c r="O9" s="9" t="s">
        <v>24</v>
      </c>
      <c r="P9" s="9" t="s">
        <v>25</v>
      </c>
      <c r="Q9" s="9" t="s">
        <v>26</v>
      </c>
      <c r="R9" s="9" t="s">
        <v>27</v>
      </c>
      <c r="S9" s="9" t="s">
        <v>28</v>
      </c>
      <c r="T9" s="9" t="s">
        <v>29</v>
      </c>
      <c r="U9" s="9" t="s">
        <v>30</v>
      </c>
    </row>
    <row r="10" customFormat="false" ht="30" hidden="false" customHeight="true" outlineLevel="0" collapsed="false">
      <c r="A10" s="10" t="n">
        <v>1</v>
      </c>
      <c r="B10" s="10" t="s">
        <v>31</v>
      </c>
      <c r="C10" s="10" t="s">
        <v>32</v>
      </c>
      <c r="D10" s="11" t="s">
        <v>33</v>
      </c>
      <c r="E10" s="11" t="s">
        <v>34</v>
      </c>
      <c r="F10" s="11" t="s">
        <v>35</v>
      </c>
      <c r="G10" s="10" t="s">
        <v>36</v>
      </c>
      <c r="H10" s="10" t="s">
        <v>37</v>
      </c>
      <c r="I10" s="11"/>
    </row>
    <row r="11" customFormat="false" ht="30" hidden="false" customHeight="true" outlineLevel="0" collapsed="false">
      <c r="A11" s="12" t="n">
        <v>2</v>
      </c>
      <c r="B11" s="12" t="s">
        <v>31</v>
      </c>
      <c r="C11" s="12" t="s">
        <v>38</v>
      </c>
      <c r="D11" s="13" t="s">
        <v>39</v>
      </c>
      <c r="E11" s="13" t="s">
        <v>34</v>
      </c>
      <c r="F11" s="13" t="s">
        <v>40</v>
      </c>
      <c r="G11" s="12" t="s">
        <v>36</v>
      </c>
      <c r="H11" s="12" t="s">
        <v>37</v>
      </c>
      <c r="I11" s="13"/>
    </row>
    <row r="12" customFormat="false" ht="30" hidden="false" customHeight="true" outlineLevel="0" collapsed="false">
      <c r="A12" s="10" t="n">
        <v>3</v>
      </c>
      <c r="B12" s="10" t="s">
        <v>31</v>
      </c>
      <c r="C12" s="10" t="s">
        <v>41</v>
      </c>
      <c r="D12" s="11" t="s">
        <v>42</v>
      </c>
      <c r="E12" s="11" t="s">
        <v>43</v>
      </c>
      <c r="F12" s="11" t="s">
        <v>44</v>
      </c>
      <c r="G12" s="10" t="s">
        <v>36</v>
      </c>
      <c r="H12" s="10" t="s">
        <v>37</v>
      </c>
      <c r="I12" s="11"/>
    </row>
    <row r="13" customFormat="false" ht="30" hidden="false" customHeight="true" outlineLevel="0" collapsed="false">
      <c r="A13" s="12" t="n">
        <v>4</v>
      </c>
      <c r="B13" s="12" t="s">
        <v>31</v>
      </c>
      <c r="C13" s="12" t="s">
        <v>45</v>
      </c>
      <c r="D13" s="13" t="s">
        <v>46</v>
      </c>
      <c r="E13" s="13" t="s">
        <v>47</v>
      </c>
      <c r="F13" s="13" t="s">
        <v>48</v>
      </c>
      <c r="G13" s="12" t="s">
        <v>49</v>
      </c>
      <c r="H13" s="12" t="s">
        <v>37</v>
      </c>
      <c r="I13" s="13"/>
    </row>
    <row r="14" customFormat="false" ht="30" hidden="false" customHeight="true" outlineLevel="0" collapsed="false">
      <c r="A14" s="10" t="n">
        <v>5</v>
      </c>
      <c r="B14" s="10" t="s">
        <v>31</v>
      </c>
      <c r="C14" s="10" t="s">
        <v>50</v>
      </c>
      <c r="D14" s="11" t="s">
        <v>51</v>
      </c>
      <c r="E14" s="11" t="s">
        <v>52</v>
      </c>
      <c r="F14" s="11" t="s">
        <v>53</v>
      </c>
      <c r="G14" s="10" t="s">
        <v>49</v>
      </c>
      <c r="H14" s="10" t="s">
        <v>37</v>
      </c>
      <c r="I14" s="11"/>
    </row>
    <row r="15" customFormat="false" ht="30" hidden="false" customHeight="true" outlineLevel="0" collapsed="false">
      <c r="A15" s="12" t="n">
        <v>6</v>
      </c>
      <c r="B15" s="12" t="s">
        <v>31</v>
      </c>
      <c r="C15" s="12" t="s">
        <v>54</v>
      </c>
      <c r="D15" s="13" t="s">
        <v>55</v>
      </c>
      <c r="E15" s="13" t="s">
        <v>47</v>
      </c>
      <c r="F15" s="13" t="s">
        <v>56</v>
      </c>
      <c r="G15" s="12" t="s">
        <v>36</v>
      </c>
      <c r="H15" s="12" t="s">
        <v>37</v>
      </c>
      <c r="I15" s="13"/>
    </row>
    <row r="16" customFormat="false" ht="30" hidden="false" customHeight="true" outlineLevel="0" collapsed="false">
      <c r="A16" s="10" t="n">
        <v>7</v>
      </c>
      <c r="B16" s="10" t="s">
        <v>31</v>
      </c>
      <c r="C16" s="10" t="s">
        <v>57</v>
      </c>
      <c r="D16" s="11" t="s">
        <v>58</v>
      </c>
      <c r="E16" s="11" t="s">
        <v>59</v>
      </c>
      <c r="F16" s="11" t="s">
        <v>60</v>
      </c>
      <c r="G16" s="10" t="s">
        <v>49</v>
      </c>
      <c r="H16" s="10" t="s">
        <v>37</v>
      </c>
      <c r="I16" s="11"/>
    </row>
    <row r="17" customFormat="false" ht="30" hidden="false" customHeight="true" outlineLevel="0" collapsed="false">
      <c r="A17" s="12" t="n">
        <v>8</v>
      </c>
      <c r="B17" s="12" t="s">
        <v>31</v>
      </c>
      <c r="C17" s="12" t="s">
        <v>61</v>
      </c>
      <c r="D17" s="13" t="s">
        <v>62</v>
      </c>
      <c r="E17" s="13" t="s">
        <v>63</v>
      </c>
      <c r="F17" s="13" t="s">
        <v>64</v>
      </c>
      <c r="G17" s="12" t="s">
        <v>65</v>
      </c>
      <c r="H17" s="12" t="s">
        <v>37</v>
      </c>
      <c r="I17" s="13"/>
    </row>
    <row r="18" customFormat="false" ht="30" hidden="false" customHeight="true" outlineLevel="0" collapsed="false">
      <c r="A18" s="10" t="n">
        <v>9</v>
      </c>
      <c r="B18" s="10" t="s">
        <v>31</v>
      </c>
      <c r="C18" s="10" t="s">
        <v>66</v>
      </c>
      <c r="D18" s="11" t="s">
        <v>67</v>
      </c>
      <c r="E18" s="11" t="s">
        <v>63</v>
      </c>
      <c r="F18" s="11" t="s">
        <v>68</v>
      </c>
      <c r="G18" s="10" t="s">
        <v>65</v>
      </c>
      <c r="H18" s="10" t="s">
        <v>69</v>
      </c>
      <c r="I18" s="11" t="s">
        <v>70</v>
      </c>
    </row>
    <row r="19" customFormat="false" ht="30" hidden="false" customHeight="true" outlineLevel="0" collapsed="false">
      <c r="A19" s="12" t="n">
        <v>10</v>
      </c>
      <c r="B19" s="12" t="s">
        <v>31</v>
      </c>
      <c r="C19" s="12" t="s">
        <v>71</v>
      </c>
      <c r="D19" s="13" t="s">
        <v>72</v>
      </c>
      <c r="E19" s="13" t="s">
        <v>72</v>
      </c>
      <c r="F19" s="13" t="s">
        <v>73</v>
      </c>
      <c r="G19" s="12" t="s">
        <v>65</v>
      </c>
      <c r="H19" s="12" t="s">
        <v>37</v>
      </c>
      <c r="I19" s="13"/>
    </row>
    <row r="20" customFormat="false" ht="30" hidden="false" customHeight="true" outlineLevel="0" collapsed="false">
      <c r="A20" s="10" t="n">
        <v>11</v>
      </c>
      <c r="B20" s="10" t="s">
        <v>31</v>
      </c>
      <c r="C20" s="10" t="s">
        <v>74</v>
      </c>
      <c r="D20" s="11" t="s">
        <v>75</v>
      </c>
      <c r="E20" s="11" t="s">
        <v>76</v>
      </c>
      <c r="F20" s="11" t="s">
        <v>77</v>
      </c>
      <c r="G20" s="10" t="s">
        <v>65</v>
      </c>
      <c r="H20" s="10" t="s">
        <v>37</v>
      </c>
      <c r="I20" s="11"/>
    </row>
    <row r="21" customFormat="false" ht="30" hidden="false" customHeight="true" outlineLevel="0" collapsed="false">
      <c r="A21" s="12" t="n">
        <v>12</v>
      </c>
      <c r="B21" s="12" t="s">
        <v>31</v>
      </c>
      <c r="C21" s="12" t="s">
        <v>78</v>
      </c>
      <c r="D21" s="13" t="s">
        <v>75</v>
      </c>
      <c r="E21" s="13" t="s">
        <v>76</v>
      </c>
      <c r="F21" s="13" t="s">
        <v>79</v>
      </c>
      <c r="G21" s="12" t="s">
        <v>65</v>
      </c>
      <c r="H21" s="12" t="s">
        <v>37</v>
      </c>
      <c r="I21" s="13"/>
    </row>
    <row r="22" customFormat="false" ht="30" hidden="false" customHeight="true" outlineLevel="0" collapsed="false">
      <c r="A22" s="10" t="n">
        <v>13</v>
      </c>
      <c r="B22" s="10" t="s">
        <v>31</v>
      </c>
      <c r="C22" s="10" t="s">
        <v>80</v>
      </c>
      <c r="D22" s="11" t="s">
        <v>75</v>
      </c>
      <c r="E22" s="11" t="s">
        <v>76</v>
      </c>
      <c r="F22" s="11" t="s">
        <v>81</v>
      </c>
      <c r="G22" s="10" t="s">
        <v>65</v>
      </c>
      <c r="H22" s="10" t="s">
        <v>37</v>
      </c>
      <c r="I22" s="11" t="s">
        <v>70</v>
      </c>
    </row>
    <row r="23" customFormat="false" ht="30" hidden="false" customHeight="true" outlineLevel="0" collapsed="false">
      <c r="A23" s="12" t="n">
        <v>14</v>
      </c>
      <c r="B23" s="12" t="s">
        <v>31</v>
      </c>
      <c r="C23" s="12" t="s">
        <v>82</v>
      </c>
      <c r="D23" s="13" t="s">
        <v>83</v>
      </c>
      <c r="E23" s="13" t="s">
        <v>72</v>
      </c>
      <c r="F23" s="13" t="s">
        <v>84</v>
      </c>
      <c r="G23" s="12" t="s">
        <v>65</v>
      </c>
      <c r="H23" s="12" t="s">
        <v>85</v>
      </c>
      <c r="I23" s="13" t="s">
        <v>70</v>
      </c>
    </row>
    <row r="24" customFormat="false" ht="30" hidden="false" customHeight="true" outlineLevel="0" collapsed="false">
      <c r="A24" s="10" t="n">
        <v>15</v>
      </c>
      <c r="B24" s="10" t="s">
        <v>31</v>
      </c>
      <c r="C24" s="10" t="s">
        <v>86</v>
      </c>
      <c r="D24" s="11" t="s">
        <v>87</v>
      </c>
      <c r="E24" s="11" t="s">
        <v>67</v>
      </c>
      <c r="F24" s="11" t="s">
        <v>88</v>
      </c>
      <c r="G24" s="10" t="s">
        <v>65</v>
      </c>
      <c r="H24" s="10" t="s">
        <v>89</v>
      </c>
      <c r="I24" s="11" t="s">
        <v>70</v>
      </c>
    </row>
    <row r="25" customFormat="false" ht="30" hidden="false" customHeight="true" outlineLevel="0" collapsed="false">
      <c r="A25" s="12" t="n">
        <v>16</v>
      </c>
      <c r="B25" s="12" t="s">
        <v>31</v>
      </c>
      <c r="C25" s="12" t="s">
        <v>90</v>
      </c>
      <c r="D25" s="13" t="s">
        <v>87</v>
      </c>
      <c r="E25" s="13" t="s">
        <v>67</v>
      </c>
      <c r="F25" s="13" t="s">
        <v>91</v>
      </c>
      <c r="G25" s="12" t="s">
        <v>65</v>
      </c>
      <c r="H25" s="12" t="s">
        <v>92</v>
      </c>
      <c r="I25" s="13" t="s">
        <v>70</v>
      </c>
    </row>
    <row r="26" customFormat="false" ht="30" hidden="false" customHeight="true" outlineLevel="0" collapsed="false">
      <c r="A26" s="10" t="n">
        <v>17</v>
      </c>
      <c r="B26" s="10" t="s">
        <v>31</v>
      </c>
      <c r="C26" s="10" t="s">
        <v>93</v>
      </c>
      <c r="D26" s="11" t="s">
        <v>94</v>
      </c>
      <c r="E26" s="11" t="s">
        <v>67</v>
      </c>
      <c r="F26" s="11" t="s">
        <v>95</v>
      </c>
      <c r="G26" s="10" t="s">
        <v>65</v>
      </c>
      <c r="H26" s="10" t="s">
        <v>89</v>
      </c>
      <c r="I26" s="11" t="s">
        <v>70</v>
      </c>
    </row>
    <row r="27" customFormat="false" ht="30" hidden="false" customHeight="true" outlineLevel="0" collapsed="false">
      <c r="A27" s="12" t="n">
        <v>18</v>
      </c>
      <c r="B27" s="12" t="s">
        <v>31</v>
      </c>
      <c r="C27" s="12" t="s">
        <v>96</v>
      </c>
      <c r="D27" s="13" t="s">
        <v>97</v>
      </c>
      <c r="E27" s="13" t="s">
        <v>67</v>
      </c>
      <c r="F27" s="13" t="s">
        <v>98</v>
      </c>
      <c r="G27" s="12" t="s">
        <v>65</v>
      </c>
      <c r="H27" s="12" t="s">
        <v>89</v>
      </c>
      <c r="I27" s="13" t="s">
        <v>70</v>
      </c>
    </row>
    <row r="28" customFormat="false" ht="30" hidden="false" customHeight="true" outlineLevel="0" collapsed="false">
      <c r="A28" s="10" t="n">
        <v>19</v>
      </c>
      <c r="B28" s="10" t="s">
        <v>31</v>
      </c>
      <c r="C28" s="10" t="s">
        <v>99</v>
      </c>
      <c r="D28" s="11" t="s">
        <v>100</v>
      </c>
      <c r="E28" s="11" t="s">
        <v>101</v>
      </c>
      <c r="F28" s="11" t="s">
        <v>102</v>
      </c>
      <c r="G28" s="10" t="s">
        <v>36</v>
      </c>
      <c r="H28" s="10" t="s">
        <v>37</v>
      </c>
      <c r="I28" s="11" t="s">
        <v>70</v>
      </c>
    </row>
    <row r="29" customFormat="false" ht="30" hidden="false" customHeight="true" outlineLevel="0" collapsed="false">
      <c r="A29" s="12" t="n">
        <v>20</v>
      </c>
      <c r="B29" s="12" t="s">
        <v>31</v>
      </c>
      <c r="C29" s="12" t="s">
        <v>103</v>
      </c>
      <c r="D29" s="13" t="s">
        <v>104</v>
      </c>
      <c r="E29" s="13" t="s">
        <v>105</v>
      </c>
      <c r="F29" s="13" t="s">
        <v>106</v>
      </c>
      <c r="G29" s="12" t="s">
        <v>65</v>
      </c>
      <c r="H29" s="12" t="s">
        <v>107</v>
      </c>
      <c r="I29" s="13" t="s">
        <v>70</v>
      </c>
    </row>
    <row r="30" customFormat="false" ht="30" hidden="false" customHeight="true" outlineLevel="0" collapsed="false">
      <c r="A30" s="10" t="n">
        <v>21</v>
      </c>
      <c r="B30" s="10" t="s">
        <v>31</v>
      </c>
      <c r="C30" s="10" t="s">
        <v>108</v>
      </c>
      <c r="D30" s="11" t="s">
        <v>109</v>
      </c>
      <c r="E30" s="11" t="s">
        <v>110</v>
      </c>
      <c r="F30" s="11" t="s">
        <v>111</v>
      </c>
      <c r="G30" s="10" t="s">
        <v>49</v>
      </c>
      <c r="H30" s="10" t="s">
        <v>85</v>
      </c>
      <c r="I30" s="11" t="s">
        <v>70</v>
      </c>
    </row>
    <row r="31" customFormat="false" ht="30" hidden="false" customHeight="true" outlineLevel="0" collapsed="false">
      <c r="A31" s="12" t="n">
        <v>22</v>
      </c>
      <c r="B31" s="12" t="s">
        <v>31</v>
      </c>
      <c r="C31" s="12" t="s">
        <v>112</v>
      </c>
      <c r="D31" s="13" t="s">
        <v>113</v>
      </c>
      <c r="E31" s="13" t="s">
        <v>114</v>
      </c>
      <c r="F31" s="13" t="s">
        <v>115</v>
      </c>
      <c r="G31" s="12" t="s">
        <v>49</v>
      </c>
      <c r="H31" s="12" t="s">
        <v>116</v>
      </c>
      <c r="I31" s="13" t="s">
        <v>70</v>
      </c>
    </row>
    <row r="32" customFormat="false" ht="30" hidden="false" customHeight="true" outlineLevel="0" collapsed="false">
      <c r="A32" s="10" t="n">
        <v>23</v>
      </c>
      <c r="B32" s="10" t="s">
        <v>31</v>
      </c>
      <c r="C32" s="10" t="s">
        <v>117</v>
      </c>
      <c r="D32" s="11" t="s">
        <v>118</v>
      </c>
      <c r="E32" s="11" t="s">
        <v>101</v>
      </c>
      <c r="F32" s="11" t="s">
        <v>119</v>
      </c>
      <c r="G32" s="10" t="s">
        <v>36</v>
      </c>
      <c r="H32" s="10" t="s">
        <v>85</v>
      </c>
      <c r="I32" s="11" t="s">
        <v>70</v>
      </c>
    </row>
    <row r="33" customFormat="false" ht="30" hidden="false" customHeight="true" outlineLevel="0" collapsed="false">
      <c r="A33" s="12" t="n">
        <v>24</v>
      </c>
      <c r="B33" s="12" t="s">
        <v>120</v>
      </c>
      <c r="C33" s="12" t="s">
        <v>121</v>
      </c>
      <c r="D33" s="13" t="s">
        <v>122</v>
      </c>
      <c r="E33" s="13" t="s">
        <v>123</v>
      </c>
      <c r="F33" s="13" t="s">
        <v>124</v>
      </c>
      <c r="G33" s="12" t="s">
        <v>125</v>
      </c>
      <c r="H33" s="12" t="s">
        <v>37</v>
      </c>
      <c r="I33" s="13"/>
    </row>
    <row r="34" customFormat="false" ht="30" hidden="false" customHeight="true" outlineLevel="0" collapsed="false">
      <c r="A34" s="10" t="n">
        <v>25</v>
      </c>
      <c r="B34" s="10" t="s">
        <v>120</v>
      </c>
      <c r="C34" s="10" t="s">
        <v>126</v>
      </c>
      <c r="D34" s="11" t="s">
        <v>127</v>
      </c>
      <c r="E34" s="11" t="s">
        <v>128</v>
      </c>
      <c r="F34" s="11" t="s">
        <v>129</v>
      </c>
      <c r="G34" s="10" t="s">
        <v>130</v>
      </c>
      <c r="H34" s="10" t="s">
        <v>131</v>
      </c>
      <c r="I34" s="11"/>
    </row>
    <row r="35" customFormat="false" ht="30" hidden="false" customHeight="true" outlineLevel="0" collapsed="false">
      <c r="A35" s="12" t="n">
        <v>26</v>
      </c>
      <c r="B35" s="12" t="s">
        <v>120</v>
      </c>
      <c r="C35" s="12" t="s">
        <v>132</v>
      </c>
      <c r="D35" s="13" t="s">
        <v>127</v>
      </c>
      <c r="E35" s="13" t="s">
        <v>128</v>
      </c>
      <c r="F35" s="13" t="s">
        <v>133</v>
      </c>
      <c r="G35" s="12" t="s">
        <v>130</v>
      </c>
      <c r="H35" s="12" t="s">
        <v>131</v>
      </c>
      <c r="I35" s="13"/>
    </row>
    <row r="36" customFormat="false" ht="30" hidden="false" customHeight="true" outlineLevel="0" collapsed="false">
      <c r="A36" s="10" t="n">
        <v>27</v>
      </c>
      <c r="B36" s="10" t="s">
        <v>120</v>
      </c>
      <c r="C36" s="10" t="s">
        <v>134</v>
      </c>
      <c r="D36" s="11" t="s">
        <v>135</v>
      </c>
      <c r="E36" s="11" t="s">
        <v>136</v>
      </c>
      <c r="F36" s="11" t="s">
        <v>137</v>
      </c>
      <c r="G36" s="10" t="s">
        <v>130</v>
      </c>
      <c r="H36" s="10" t="s">
        <v>138</v>
      </c>
      <c r="I36" s="11"/>
    </row>
    <row r="37" customFormat="false" ht="30" hidden="false" customHeight="true" outlineLevel="0" collapsed="false">
      <c r="A37" s="12" t="n">
        <v>28</v>
      </c>
      <c r="B37" s="12" t="s">
        <v>120</v>
      </c>
      <c r="C37" s="12" t="s">
        <v>139</v>
      </c>
      <c r="D37" s="13" t="s">
        <v>140</v>
      </c>
      <c r="E37" s="13" t="s">
        <v>141</v>
      </c>
      <c r="F37" s="13" t="s">
        <v>142</v>
      </c>
      <c r="G37" s="12" t="s">
        <v>125</v>
      </c>
      <c r="H37" s="12" t="s">
        <v>131</v>
      </c>
      <c r="I37" s="13"/>
    </row>
    <row r="38" customFormat="false" ht="30" hidden="false" customHeight="true" outlineLevel="0" collapsed="false">
      <c r="A38" s="10" t="n">
        <v>29</v>
      </c>
      <c r="B38" s="10" t="s">
        <v>143</v>
      </c>
      <c r="C38" s="10" t="s">
        <v>144</v>
      </c>
      <c r="D38" s="11" t="s">
        <v>145</v>
      </c>
      <c r="E38" s="11" t="s">
        <v>146</v>
      </c>
      <c r="F38" s="11" t="s">
        <v>147</v>
      </c>
      <c r="G38" s="10" t="s">
        <v>148</v>
      </c>
      <c r="H38" s="10" t="s">
        <v>37</v>
      </c>
      <c r="I38" s="11"/>
    </row>
    <row r="39" customFormat="false" ht="30" hidden="false" customHeight="true" outlineLevel="0" collapsed="false">
      <c r="A39" s="12" t="n">
        <v>30</v>
      </c>
      <c r="B39" s="12" t="s">
        <v>143</v>
      </c>
      <c r="C39" s="12" t="s">
        <v>149</v>
      </c>
      <c r="D39" s="13" t="s">
        <v>150</v>
      </c>
      <c r="E39" s="13" t="s">
        <v>146</v>
      </c>
      <c r="F39" s="13" t="s">
        <v>151</v>
      </c>
      <c r="G39" s="12" t="s">
        <v>148</v>
      </c>
      <c r="H39" s="12" t="s">
        <v>37</v>
      </c>
      <c r="I39" s="13"/>
    </row>
    <row r="40" customFormat="false" ht="30" hidden="false" customHeight="true" outlineLevel="0" collapsed="false">
      <c r="A40" s="10" t="n">
        <v>31</v>
      </c>
      <c r="B40" s="10" t="s">
        <v>143</v>
      </c>
      <c r="C40" s="10" t="s">
        <v>152</v>
      </c>
      <c r="D40" s="11" t="s">
        <v>153</v>
      </c>
      <c r="E40" s="11" t="s">
        <v>154</v>
      </c>
      <c r="F40" s="11" t="s">
        <v>155</v>
      </c>
      <c r="G40" s="10" t="s">
        <v>156</v>
      </c>
      <c r="H40" s="10" t="s">
        <v>37</v>
      </c>
      <c r="I40" s="11"/>
    </row>
    <row r="41" customFormat="false" ht="30" hidden="false" customHeight="true" outlineLevel="0" collapsed="false">
      <c r="A41" s="12" t="n">
        <v>32</v>
      </c>
      <c r="B41" s="12" t="s">
        <v>143</v>
      </c>
      <c r="C41" s="12" t="s">
        <v>157</v>
      </c>
      <c r="D41" s="13" t="s">
        <v>158</v>
      </c>
      <c r="E41" s="13" t="s">
        <v>159</v>
      </c>
      <c r="F41" s="13" t="s">
        <v>160</v>
      </c>
      <c r="G41" s="12" t="s">
        <v>159</v>
      </c>
      <c r="H41" s="12" t="s">
        <v>37</v>
      </c>
      <c r="I41" s="13"/>
    </row>
    <row r="42" customFormat="false" ht="30" hidden="false" customHeight="true" outlineLevel="0" collapsed="false">
      <c r="A42" s="10" t="n">
        <v>33</v>
      </c>
      <c r="B42" s="10" t="s">
        <v>143</v>
      </c>
      <c r="C42" s="10" t="s">
        <v>161</v>
      </c>
      <c r="D42" s="11" t="s">
        <v>162</v>
      </c>
      <c r="E42" s="11" t="s">
        <v>150</v>
      </c>
      <c r="F42" s="11" t="s">
        <v>163</v>
      </c>
      <c r="G42" s="10" t="s">
        <v>156</v>
      </c>
      <c r="H42" s="10" t="s">
        <v>37</v>
      </c>
      <c r="I42" s="11"/>
    </row>
    <row r="43" customFormat="false" ht="30" hidden="false" customHeight="true" outlineLevel="0" collapsed="false">
      <c r="A43" s="12" t="n">
        <v>34</v>
      </c>
      <c r="B43" s="12" t="s">
        <v>164</v>
      </c>
      <c r="C43" s="12" t="s">
        <v>165</v>
      </c>
      <c r="D43" s="13" t="s">
        <v>166</v>
      </c>
      <c r="E43" s="13" t="s">
        <v>167</v>
      </c>
      <c r="F43" s="13" t="s">
        <v>168</v>
      </c>
      <c r="G43" s="12" t="s">
        <v>169</v>
      </c>
      <c r="H43" s="12" t="s">
        <v>37</v>
      </c>
      <c r="I43" s="13"/>
    </row>
    <row r="44" customFormat="false" ht="30" hidden="false" customHeight="true" outlineLevel="0" collapsed="false">
      <c r="A44" s="10" t="n">
        <v>35</v>
      </c>
      <c r="B44" s="10" t="s">
        <v>164</v>
      </c>
      <c r="C44" s="10" t="s">
        <v>170</v>
      </c>
      <c r="D44" s="11" t="s">
        <v>171</v>
      </c>
      <c r="E44" s="11" t="s">
        <v>167</v>
      </c>
      <c r="F44" s="11" t="s">
        <v>172</v>
      </c>
      <c r="G44" s="10" t="s">
        <v>169</v>
      </c>
      <c r="H44" s="10" t="s">
        <v>37</v>
      </c>
      <c r="I44" s="11"/>
    </row>
    <row r="45" customFormat="false" ht="30" hidden="false" customHeight="true" outlineLevel="0" collapsed="false">
      <c r="A45" s="12" t="n">
        <v>36</v>
      </c>
      <c r="B45" s="12" t="s">
        <v>164</v>
      </c>
      <c r="C45" s="12" t="s">
        <v>173</v>
      </c>
      <c r="D45" s="13" t="s">
        <v>174</v>
      </c>
      <c r="E45" s="13" t="s">
        <v>167</v>
      </c>
      <c r="F45" s="13" t="s">
        <v>175</v>
      </c>
      <c r="G45" s="12" t="s">
        <v>176</v>
      </c>
      <c r="H45" s="12" t="s">
        <v>37</v>
      </c>
      <c r="I45" s="13"/>
    </row>
    <row r="46" customFormat="false" ht="30" hidden="false" customHeight="true" outlineLevel="0" collapsed="false">
      <c r="A46" s="10" t="n">
        <v>37</v>
      </c>
      <c r="B46" s="10" t="s">
        <v>164</v>
      </c>
      <c r="C46" s="10" t="s">
        <v>177</v>
      </c>
      <c r="D46" s="11" t="s">
        <v>178</v>
      </c>
      <c r="E46" s="11" t="s">
        <v>179</v>
      </c>
      <c r="F46" s="11" t="s">
        <v>180</v>
      </c>
      <c r="G46" s="10" t="s">
        <v>181</v>
      </c>
      <c r="H46" s="10" t="s">
        <v>37</v>
      </c>
      <c r="I46" s="11"/>
    </row>
    <row r="47" customFormat="false" ht="30" hidden="false" customHeight="true" outlineLevel="0" collapsed="false">
      <c r="A47" s="12" t="n">
        <v>38</v>
      </c>
      <c r="B47" s="12" t="s">
        <v>164</v>
      </c>
      <c r="C47" s="12" t="s">
        <v>182</v>
      </c>
      <c r="D47" s="13" t="s">
        <v>178</v>
      </c>
      <c r="E47" s="13" t="s">
        <v>179</v>
      </c>
      <c r="F47" s="13" t="s">
        <v>183</v>
      </c>
      <c r="G47" s="12" t="s">
        <v>181</v>
      </c>
      <c r="H47" s="12" t="s">
        <v>37</v>
      </c>
      <c r="I47" s="13"/>
    </row>
    <row r="48" customFormat="false" ht="30" hidden="false" customHeight="true" outlineLevel="0" collapsed="false">
      <c r="A48" s="10" t="n">
        <v>39</v>
      </c>
      <c r="B48" s="10" t="s">
        <v>164</v>
      </c>
      <c r="C48" s="10" t="s">
        <v>184</v>
      </c>
      <c r="D48" s="11" t="s">
        <v>185</v>
      </c>
      <c r="E48" s="11" t="s">
        <v>186</v>
      </c>
      <c r="F48" s="11" t="s">
        <v>187</v>
      </c>
      <c r="G48" s="10" t="s">
        <v>181</v>
      </c>
      <c r="H48" s="10" t="s">
        <v>37</v>
      </c>
      <c r="I48" s="11"/>
    </row>
    <row r="49" customFormat="false" ht="30" hidden="false" customHeight="true" outlineLevel="0" collapsed="false">
      <c r="A49" s="12" t="n">
        <v>40</v>
      </c>
      <c r="B49" s="12" t="s">
        <v>164</v>
      </c>
      <c r="C49" s="12" t="s">
        <v>188</v>
      </c>
      <c r="D49" s="13" t="s">
        <v>189</v>
      </c>
      <c r="E49" s="13" t="s">
        <v>186</v>
      </c>
      <c r="F49" s="13" t="s">
        <v>190</v>
      </c>
      <c r="G49" s="12" t="s">
        <v>181</v>
      </c>
      <c r="H49" s="12" t="s">
        <v>37</v>
      </c>
      <c r="I49" s="13"/>
    </row>
    <row r="50" customFormat="false" ht="30" hidden="false" customHeight="true" outlineLevel="0" collapsed="false">
      <c r="A50" s="10" t="n">
        <v>41</v>
      </c>
      <c r="B50" s="10" t="s">
        <v>164</v>
      </c>
      <c r="C50" s="10" t="s">
        <v>191</v>
      </c>
      <c r="D50" s="11" t="s">
        <v>192</v>
      </c>
      <c r="E50" s="11" t="s">
        <v>186</v>
      </c>
      <c r="F50" s="11" t="s">
        <v>193</v>
      </c>
      <c r="G50" s="10" t="s">
        <v>181</v>
      </c>
      <c r="H50" s="10" t="s">
        <v>37</v>
      </c>
      <c r="I50" s="11"/>
    </row>
    <row r="51" customFormat="false" ht="30" hidden="false" customHeight="true" outlineLevel="0" collapsed="false">
      <c r="A51" s="12" t="n">
        <v>42</v>
      </c>
      <c r="B51" s="12" t="s">
        <v>164</v>
      </c>
      <c r="C51" s="12" t="s">
        <v>194</v>
      </c>
      <c r="D51" s="13" t="s">
        <v>195</v>
      </c>
      <c r="E51" s="13" t="s">
        <v>196</v>
      </c>
      <c r="F51" s="13" t="s">
        <v>197</v>
      </c>
      <c r="G51" s="12" t="s">
        <v>181</v>
      </c>
      <c r="H51" s="12" t="s">
        <v>37</v>
      </c>
      <c r="I51" s="13"/>
    </row>
    <row r="52" customFormat="false" ht="30" hidden="false" customHeight="true" outlineLevel="0" collapsed="false">
      <c r="A52" s="10" t="n">
        <v>43</v>
      </c>
      <c r="B52" s="10" t="s">
        <v>164</v>
      </c>
      <c r="C52" s="10" t="s">
        <v>198</v>
      </c>
      <c r="D52" s="11" t="s">
        <v>199</v>
      </c>
      <c r="E52" s="11" t="s">
        <v>200</v>
      </c>
      <c r="F52" s="11" t="s">
        <v>201</v>
      </c>
      <c r="G52" s="10" t="s">
        <v>176</v>
      </c>
      <c r="H52" s="10" t="s">
        <v>37</v>
      </c>
      <c r="I52" s="11"/>
    </row>
    <row r="53" customFormat="false" ht="30" hidden="false" customHeight="true" outlineLevel="0" collapsed="false">
      <c r="A53" s="12" t="n">
        <v>44</v>
      </c>
      <c r="B53" s="12" t="s">
        <v>164</v>
      </c>
      <c r="C53" s="12" t="s">
        <v>202</v>
      </c>
      <c r="D53" s="13" t="s">
        <v>203</v>
      </c>
      <c r="E53" s="13" t="s">
        <v>200</v>
      </c>
      <c r="F53" s="13" t="s">
        <v>204</v>
      </c>
      <c r="G53" s="12" t="s">
        <v>176</v>
      </c>
      <c r="H53" s="12" t="s">
        <v>37</v>
      </c>
      <c r="I53" s="13"/>
    </row>
    <row r="54" customFormat="false" ht="30" hidden="false" customHeight="true" outlineLevel="0" collapsed="false">
      <c r="A54" s="10" t="n">
        <v>45</v>
      </c>
      <c r="B54" s="10" t="s">
        <v>164</v>
      </c>
      <c r="C54" s="10" t="s">
        <v>205</v>
      </c>
      <c r="D54" s="11" t="s">
        <v>206</v>
      </c>
      <c r="E54" s="11" t="s">
        <v>200</v>
      </c>
      <c r="F54" s="11" t="s">
        <v>207</v>
      </c>
      <c r="G54" s="10" t="s">
        <v>181</v>
      </c>
      <c r="H54" s="10" t="s">
        <v>37</v>
      </c>
      <c r="I54" s="11"/>
    </row>
    <row r="55" customFormat="false" ht="30" hidden="false" customHeight="true" outlineLevel="0" collapsed="false">
      <c r="A55" s="12" t="n">
        <v>46</v>
      </c>
      <c r="B55" s="12" t="s">
        <v>164</v>
      </c>
      <c r="C55" s="12" t="s">
        <v>208</v>
      </c>
      <c r="D55" s="13" t="s">
        <v>209</v>
      </c>
      <c r="E55" s="13" t="s">
        <v>210</v>
      </c>
      <c r="F55" s="13" t="s">
        <v>211</v>
      </c>
      <c r="G55" s="12" t="s">
        <v>169</v>
      </c>
      <c r="H55" s="12" t="s">
        <v>37</v>
      </c>
      <c r="I55" s="13"/>
    </row>
    <row r="56" customFormat="false" ht="30" hidden="false" customHeight="true" outlineLevel="0" collapsed="false">
      <c r="A56" s="10" t="n">
        <v>47</v>
      </c>
      <c r="B56" s="10" t="s">
        <v>164</v>
      </c>
      <c r="C56" s="10" t="s">
        <v>212</v>
      </c>
      <c r="D56" s="11" t="s">
        <v>213</v>
      </c>
      <c r="E56" s="11" t="s">
        <v>210</v>
      </c>
      <c r="F56" s="11" t="s">
        <v>214</v>
      </c>
      <c r="G56" s="10" t="s">
        <v>176</v>
      </c>
      <c r="H56" s="10" t="s">
        <v>37</v>
      </c>
      <c r="I56" s="11"/>
    </row>
    <row r="57" customFormat="false" ht="30" hidden="false" customHeight="true" outlineLevel="0" collapsed="false">
      <c r="A57" s="12" t="n">
        <v>48</v>
      </c>
      <c r="B57" s="12" t="s">
        <v>164</v>
      </c>
      <c r="C57" s="12" t="s">
        <v>215</v>
      </c>
      <c r="D57" s="13" t="s">
        <v>216</v>
      </c>
      <c r="E57" s="13" t="s">
        <v>210</v>
      </c>
      <c r="F57" s="13" t="s">
        <v>217</v>
      </c>
      <c r="G57" s="12" t="s">
        <v>181</v>
      </c>
      <c r="H57" s="12" t="s">
        <v>37</v>
      </c>
      <c r="I57" s="13"/>
    </row>
    <row r="58" customFormat="false" ht="30" hidden="false" customHeight="true" outlineLevel="0" collapsed="false">
      <c r="A58" s="10" t="n">
        <v>49</v>
      </c>
      <c r="B58" s="10" t="s">
        <v>164</v>
      </c>
      <c r="C58" s="10" t="s">
        <v>218</v>
      </c>
      <c r="D58" s="11" t="s">
        <v>213</v>
      </c>
      <c r="E58" s="11" t="s">
        <v>210</v>
      </c>
      <c r="F58" s="11" t="s">
        <v>219</v>
      </c>
      <c r="G58" s="10" t="s">
        <v>176</v>
      </c>
      <c r="H58" s="10" t="s">
        <v>37</v>
      </c>
      <c r="I58" s="11"/>
    </row>
    <row r="59" customFormat="false" ht="30" hidden="false" customHeight="true" outlineLevel="0" collapsed="false">
      <c r="A59" s="12" t="n">
        <v>50</v>
      </c>
      <c r="B59" s="12" t="s">
        <v>164</v>
      </c>
      <c r="C59" s="12" t="s">
        <v>220</v>
      </c>
      <c r="D59" s="13" t="s">
        <v>221</v>
      </c>
      <c r="E59" s="13" t="s">
        <v>222</v>
      </c>
      <c r="F59" s="13" t="s">
        <v>223</v>
      </c>
      <c r="G59" s="12" t="s">
        <v>176</v>
      </c>
      <c r="H59" s="12" t="s">
        <v>37</v>
      </c>
      <c r="I59" s="13"/>
    </row>
    <row r="60" customFormat="false" ht="30" hidden="false" customHeight="true" outlineLevel="0" collapsed="false">
      <c r="A60" s="10" t="n">
        <v>51</v>
      </c>
      <c r="B60" s="10" t="s">
        <v>164</v>
      </c>
      <c r="C60" s="10" t="s">
        <v>224</v>
      </c>
      <c r="D60" s="11" t="s">
        <v>213</v>
      </c>
      <c r="E60" s="11" t="s">
        <v>222</v>
      </c>
      <c r="F60" s="11" t="s">
        <v>225</v>
      </c>
      <c r="G60" s="10" t="s">
        <v>176</v>
      </c>
      <c r="H60" s="10" t="s">
        <v>37</v>
      </c>
      <c r="I60" s="11"/>
    </row>
    <row r="61" customFormat="false" ht="30" hidden="false" customHeight="true" outlineLevel="0" collapsed="false">
      <c r="A61" s="12" t="n">
        <v>52</v>
      </c>
      <c r="B61" s="12" t="s">
        <v>164</v>
      </c>
      <c r="C61" s="12" t="s">
        <v>226</v>
      </c>
      <c r="D61" s="13" t="s">
        <v>227</v>
      </c>
      <c r="E61" s="13" t="s">
        <v>43</v>
      </c>
      <c r="F61" s="13" t="s">
        <v>228</v>
      </c>
      <c r="G61" s="12" t="s">
        <v>169</v>
      </c>
      <c r="H61" s="12" t="s">
        <v>37</v>
      </c>
      <c r="I61" s="13"/>
    </row>
    <row r="62" customFormat="false" ht="30" hidden="false" customHeight="true" outlineLevel="0" collapsed="false">
      <c r="A62" s="10" t="n">
        <v>53</v>
      </c>
      <c r="B62" s="10" t="s">
        <v>164</v>
      </c>
      <c r="C62" s="10" t="s">
        <v>229</v>
      </c>
      <c r="D62" s="11" t="s">
        <v>230</v>
      </c>
      <c r="E62" s="11" t="s">
        <v>43</v>
      </c>
      <c r="F62" s="11" t="s">
        <v>231</v>
      </c>
      <c r="G62" s="10" t="s">
        <v>169</v>
      </c>
      <c r="H62" s="10" t="s">
        <v>37</v>
      </c>
      <c r="I62" s="11"/>
    </row>
    <row r="63" customFormat="false" ht="30" hidden="false" customHeight="true" outlineLevel="0" collapsed="false">
      <c r="A63" s="12" t="n">
        <v>54</v>
      </c>
      <c r="B63" s="12" t="s">
        <v>164</v>
      </c>
      <c r="C63" s="12" t="s">
        <v>232</v>
      </c>
      <c r="D63" s="13" t="s">
        <v>206</v>
      </c>
      <c r="E63" s="13" t="s">
        <v>233</v>
      </c>
      <c r="F63" s="13" t="s">
        <v>234</v>
      </c>
      <c r="G63" s="12" t="s">
        <v>181</v>
      </c>
      <c r="H63" s="12" t="s">
        <v>37</v>
      </c>
      <c r="I63" s="13"/>
    </row>
    <row r="64" customFormat="false" ht="30" hidden="false" customHeight="true" outlineLevel="0" collapsed="false">
      <c r="A64" s="10" t="n">
        <v>55</v>
      </c>
      <c r="B64" s="10" t="s">
        <v>164</v>
      </c>
      <c r="C64" s="10" t="s">
        <v>235</v>
      </c>
      <c r="D64" s="11" t="s">
        <v>206</v>
      </c>
      <c r="E64" s="11" t="s">
        <v>233</v>
      </c>
      <c r="F64" s="11" t="s">
        <v>236</v>
      </c>
      <c r="G64" s="10" t="s">
        <v>181</v>
      </c>
      <c r="H64" s="10" t="s">
        <v>37</v>
      </c>
      <c r="I64" s="11"/>
    </row>
    <row r="65" customFormat="false" ht="30" hidden="false" customHeight="true" outlineLevel="0" collapsed="false">
      <c r="A65" s="12" t="n">
        <v>56</v>
      </c>
      <c r="B65" s="12" t="s">
        <v>164</v>
      </c>
      <c r="C65" s="12" t="s">
        <v>237</v>
      </c>
      <c r="D65" s="13" t="s">
        <v>238</v>
      </c>
      <c r="E65" s="13" t="s">
        <v>34</v>
      </c>
      <c r="F65" s="13" t="s">
        <v>239</v>
      </c>
      <c r="G65" s="12" t="s">
        <v>169</v>
      </c>
      <c r="H65" s="12" t="s">
        <v>37</v>
      </c>
      <c r="I65" s="13"/>
    </row>
    <row r="66" customFormat="false" ht="30" hidden="false" customHeight="true" outlineLevel="0" collapsed="false">
      <c r="A66" s="10" t="n">
        <v>57</v>
      </c>
      <c r="B66" s="10" t="s">
        <v>164</v>
      </c>
      <c r="C66" s="10" t="s">
        <v>240</v>
      </c>
      <c r="D66" s="11" t="s">
        <v>241</v>
      </c>
      <c r="E66" s="11" t="s">
        <v>34</v>
      </c>
      <c r="F66" s="11" t="s">
        <v>242</v>
      </c>
      <c r="G66" s="10" t="s">
        <v>169</v>
      </c>
      <c r="H66" s="10" t="s">
        <v>37</v>
      </c>
      <c r="I66" s="11"/>
    </row>
    <row r="67" customFormat="false" ht="30" hidden="false" customHeight="true" outlineLevel="0" collapsed="false">
      <c r="A67" s="12" t="n">
        <v>58</v>
      </c>
      <c r="B67" s="12" t="s">
        <v>164</v>
      </c>
      <c r="C67" s="12" t="s">
        <v>243</v>
      </c>
      <c r="D67" s="13" t="s">
        <v>244</v>
      </c>
      <c r="E67" s="13" t="s">
        <v>244</v>
      </c>
      <c r="F67" s="13" t="s">
        <v>245</v>
      </c>
      <c r="G67" s="12" t="s">
        <v>176</v>
      </c>
      <c r="H67" s="12" t="s">
        <v>37</v>
      </c>
      <c r="I67" s="13"/>
    </row>
    <row r="68" customFormat="false" ht="30" hidden="false" customHeight="true" outlineLevel="0" collapsed="false">
      <c r="A68" s="10" t="n">
        <v>59</v>
      </c>
      <c r="B68" s="10" t="s">
        <v>164</v>
      </c>
      <c r="C68" s="10" t="s">
        <v>246</v>
      </c>
      <c r="D68" s="11" t="s">
        <v>247</v>
      </c>
      <c r="E68" s="11" t="s">
        <v>244</v>
      </c>
      <c r="F68" s="11" t="s">
        <v>248</v>
      </c>
      <c r="G68" s="10" t="s">
        <v>176</v>
      </c>
      <c r="H68" s="10" t="s">
        <v>37</v>
      </c>
      <c r="I68" s="11"/>
    </row>
    <row r="69" customFormat="false" ht="30" hidden="false" customHeight="true" outlineLevel="0" collapsed="false">
      <c r="A69" s="12" t="n">
        <v>60</v>
      </c>
      <c r="B69" s="12" t="s">
        <v>164</v>
      </c>
      <c r="C69" s="12" t="s">
        <v>249</v>
      </c>
      <c r="D69" s="13" t="s">
        <v>250</v>
      </c>
      <c r="E69" s="13" t="s">
        <v>101</v>
      </c>
      <c r="F69" s="13" t="s">
        <v>251</v>
      </c>
      <c r="G69" s="12" t="s">
        <v>169</v>
      </c>
      <c r="H69" s="12" t="s">
        <v>37</v>
      </c>
      <c r="I69" s="13"/>
    </row>
    <row r="70" customFormat="false" ht="30" hidden="false" customHeight="true" outlineLevel="0" collapsed="false">
      <c r="A70" s="10" t="n">
        <v>61</v>
      </c>
      <c r="B70" s="10" t="s">
        <v>164</v>
      </c>
      <c r="C70" s="10" t="s">
        <v>252</v>
      </c>
      <c r="D70" s="11" t="s">
        <v>253</v>
      </c>
      <c r="E70" s="11" t="s">
        <v>101</v>
      </c>
      <c r="F70" s="11" t="s">
        <v>254</v>
      </c>
      <c r="G70" s="10" t="s">
        <v>176</v>
      </c>
      <c r="H70" s="10" t="s">
        <v>37</v>
      </c>
      <c r="I70" s="11"/>
    </row>
    <row r="71" customFormat="false" ht="30" hidden="false" customHeight="true" outlineLevel="0" collapsed="false">
      <c r="A71" s="12" t="n">
        <v>62</v>
      </c>
      <c r="B71" s="12" t="s">
        <v>164</v>
      </c>
      <c r="C71" s="12" t="s">
        <v>255</v>
      </c>
      <c r="D71" s="13" t="s">
        <v>250</v>
      </c>
      <c r="E71" s="13" t="s">
        <v>101</v>
      </c>
      <c r="F71" s="13" t="s">
        <v>256</v>
      </c>
      <c r="G71" s="12" t="s">
        <v>169</v>
      </c>
      <c r="H71" s="12" t="s">
        <v>37</v>
      </c>
      <c r="I71" s="13"/>
    </row>
    <row r="72" customFormat="false" ht="30" hidden="false" customHeight="true" outlineLevel="0" collapsed="false">
      <c r="A72" s="10" t="n">
        <v>63</v>
      </c>
      <c r="B72" s="10" t="s">
        <v>164</v>
      </c>
      <c r="C72" s="10" t="s">
        <v>257</v>
      </c>
      <c r="D72" s="11" t="s">
        <v>258</v>
      </c>
      <c r="E72" s="11" t="s">
        <v>186</v>
      </c>
      <c r="F72" s="11" t="s">
        <v>259</v>
      </c>
      <c r="G72" s="10" t="s">
        <v>181</v>
      </c>
      <c r="H72" s="10" t="s">
        <v>37</v>
      </c>
      <c r="I72" s="11"/>
    </row>
    <row r="73" customFormat="false" ht="30" hidden="false" customHeight="true" outlineLevel="0" collapsed="false">
      <c r="A73" s="12" t="n">
        <v>64</v>
      </c>
      <c r="B73" s="12" t="s">
        <v>260</v>
      </c>
      <c r="C73" s="12" t="s">
        <v>261</v>
      </c>
      <c r="D73" s="13" t="s">
        <v>262</v>
      </c>
      <c r="E73" s="13" t="s">
        <v>263</v>
      </c>
      <c r="F73" s="13" t="s">
        <v>264</v>
      </c>
      <c r="G73" s="12" t="s">
        <v>265</v>
      </c>
      <c r="H73" s="12" t="s">
        <v>37</v>
      </c>
      <c r="I73" s="13"/>
    </row>
    <row r="74" customFormat="false" ht="30" hidden="false" customHeight="true" outlineLevel="0" collapsed="false">
      <c r="A74" s="10" t="n">
        <v>65</v>
      </c>
      <c r="B74" s="10" t="s">
        <v>260</v>
      </c>
      <c r="C74" s="10" t="s">
        <v>266</v>
      </c>
      <c r="D74" s="11" t="s">
        <v>267</v>
      </c>
      <c r="E74" s="11" t="s">
        <v>268</v>
      </c>
      <c r="F74" s="11" t="s">
        <v>269</v>
      </c>
      <c r="G74" s="10" t="s">
        <v>270</v>
      </c>
      <c r="H74" s="10" t="s">
        <v>37</v>
      </c>
      <c r="I74" s="11"/>
    </row>
    <row r="75" customFormat="false" ht="30" hidden="false" customHeight="true" outlineLevel="0" collapsed="false">
      <c r="A75" s="12" t="n">
        <v>66</v>
      </c>
      <c r="B75" s="12" t="s">
        <v>271</v>
      </c>
      <c r="C75" s="12" t="s">
        <v>272</v>
      </c>
      <c r="D75" s="13" t="s">
        <v>273</v>
      </c>
      <c r="E75" s="13" t="s">
        <v>274</v>
      </c>
      <c r="F75" s="13" t="s">
        <v>275</v>
      </c>
      <c r="G75" s="12" t="s">
        <v>276</v>
      </c>
      <c r="H75" s="12" t="s">
        <v>37</v>
      </c>
      <c r="I75" s="13"/>
    </row>
    <row r="76" customFormat="false" ht="30" hidden="false" customHeight="true" outlineLevel="0" collapsed="false">
      <c r="A76" s="10" t="n">
        <v>67</v>
      </c>
      <c r="B76" s="10" t="s">
        <v>271</v>
      </c>
      <c r="C76" s="10" t="s">
        <v>277</v>
      </c>
      <c r="D76" s="11" t="s">
        <v>278</v>
      </c>
      <c r="E76" s="11" t="s">
        <v>196</v>
      </c>
      <c r="F76" s="11" t="s">
        <v>279</v>
      </c>
      <c r="G76" s="10" t="s">
        <v>280</v>
      </c>
      <c r="H76" s="10" t="s">
        <v>37</v>
      </c>
      <c r="I76" s="11"/>
    </row>
    <row r="77" customFormat="false" ht="30" hidden="false" customHeight="true" outlineLevel="0" collapsed="false">
      <c r="A77" s="12" t="n">
        <v>68</v>
      </c>
      <c r="B77" s="12" t="s">
        <v>271</v>
      </c>
      <c r="C77" s="12" t="s">
        <v>281</v>
      </c>
      <c r="D77" s="13" t="s">
        <v>282</v>
      </c>
      <c r="E77" s="13" t="s">
        <v>200</v>
      </c>
      <c r="F77" s="13" t="s">
        <v>283</v>
      </c>
      <c r="G77" s="12" t="s">
        <v>280</v>
      </c>
      <c r="H77" s="12" t="s">
        <v>37</v>
      </c>
      <c r="I77" s="13"/>
    </row>
    <row r="78" customFormat="false" ht="30" hidden="false" customHeight="true" outlineLevel="0" collapsed="false">
      <c r="A78" s="10" t="n">
        <v>69</v>
      </c>
      <c r="B78" s="10" t="s">
        <v>271</v>
      </c>
      <c r="C78" s="10" t="s">
        <v>284</v>
      </c>
      <c r="D78" s="11" t="s">
        <v>285</v>
      </c>
      <c r="E78" s="11" t="s">
        <v>286</v>
      </c>
      <c r="F78" s="11" t="s">
        <v>287</v>
      </c>
      <c r="G78" s="10" t="s">
        <v>280</v>
      </c>
      <c r="H78" s="10" t="s">
        <v>37</v>
      </c>
      <c r="I78" s="11"/>
    </row>
    <row r="79" customFormat="false" ht="30" hidden="false" customHeight="true" outlineLevel="0" collapsed="false">
      <c r="A79" s="12" t="n">
        <v>70</v>
      </c>
      <c r="B79" s="12" t="s">
        <v>271</v>
      </c>
      <c r="C79" s="12" t="s">
        <v>288</v>
      </c>
      <c r="D79" s="13" t="s">
        <v>289</v>
      </c>
      <c r="E79" s="13" t="s">
        <v>290</v>
      </c>
      <c r="F79" s="13" t="s">
        <v>291</v>
      </c>
      <c r="G79" s="12" t="s">
        <v>292</v>
      </c>
      <c r="H79" s="12" t="s">
        <v>37</v>
      </c>
      <c r="I79" s="13"/>
    </row>
    <row r="80" customFormat="false" ht="30" hidden="false" customHeight="true" outlineLevel="0" collapsed="false">
      <c r="A80" s="10" t="n">
        <v>71</v>
      </c>
      <c r="B80" s="10" t="s">
        <v>271</v>
      </c>
      <c r="C80" s="10" t="s">
        <v>293</v>
      </c>
      <c r="D80" s="11" t="s">
        <v>294</v>
      </c>
      <c r="E80" s="11" t="s">
        <v>295</v>
      </c>
      <c r="F80" s="11" t="s">
        <v>296</v>
      </c>
      <c r="G80" s="10" t="s">
        <v>276</v>
      </c>
      <c r="H80" s="10" t="s">
        <v>37</v>
      </c>
      <c r="I80" s="11"/>
    </row>
    <row r="81" customFormat="false" ht="30" hidden="false" customHeight="true" outlineLevel="0" collapsed="false">
      <c r="A81" s="12" t="n">
        <v>72</v>
      </c>
      <c r="B81" s="12" t="s">
        <v>297</v>
      </c>
      <c r="C81" s="12" t="s">
        <v>298</v>
      </c>
      <c r="D81" s="13" t="s">
        <v>299</v>
      </c>
      <c r="E81" s="13" t="s">
        <v>300</v>
      </c>
      <c r="F81" s="13" t="s">
        <v>301</v>
      </c>
      <c r="G81" s="12" t="s">
        <v>302</v>
      </c>
      <c r="H81" s="12" t="s">
        <v>37</v>
      </c>
      <c r="I81" s="13"/>
    </row>
    <row r="82" customFormat="false" ht="30" hidden="false" customHeight="true" outlineLevel="0" collapsed="false">
      <c r="A82" s="10" t="n">
        <v>73</v>
      </c>
      <c r="B82" s="10" t="s">
        <v>297</v>
      </c>
      <c r="C82" s="10" t="s">
        <v>303</v>
      </c>
      <c r="D82" s="11" t="s">
        <v>304</v>
      </c>
      <c r="E82" s="11" t="s">
        <v>305</v>
      </c>
      <c r="F82" s="11" t="s">
        <v>304</v>
      </c>
      <c r="G82" s="10" t="s">
        <v>302</v>
      </c>
      <c r="H82" s="10" t="s">
        <v>37</v>
      </c>
      <c r="I82" s="11"/>
    </row>
    <row r="83" customFormat="false" ht="30" hidden="false" customHeight="true" outlineLevel="0" collapsed="false">
      <c r="A83" s="12" t="n">
        <v>74</v>
      </c>
      <c r="B83" s="12" t="s">
        <v>306</v>
      </c>
      <c r="C83" s="12" t="s">
        <v>307</v>
      </c>
      <c r="D83" s="13" t="s">
        <v>308</v>
      </c>
      <c r="E83" s="13" t="s">
        <v>309</v>
      </c>
      <c r="F83" s="13" t="s">
        <v>308</v>
      </c>
      <c r="G83" s="12" t="s">
        <v>310</v>
      </c>
      <c r="H83" s="12" t="s">
        <v>69</v>
      </c>
      <c r="I83" s="13"/>
    </row>
    <row r="84" customFormat="false" ht="30" hidden="false" customHeight="true" outlineLevel="0" collapsed="false">
      <c r="A84" s="10" t="n">
        <v>75</v>
      </c>
      <c r="B84" s="10" t="s">
        <v>306</v>
      </c>
      <c r="C84" s="10" t="s">
        <v>311</v>
      </c>
      <c r="D84" s="11" t="s">
        <v>312</v>
      </c>
      <c r="E84" s="11" t="s">
        <v>309</v>
      </c>
      <c r="F84" s="11" t="s">
        <v>313</v>
      </c>
      <c r="G84" s="10" t="s">
        <v>310</v>
      </c>
      <c r="H84" s="10" t="s">
        <v>69</v>
      </c>
      <c r="I84" s="11"/>
    </row>
    <row r="85" customFormat="false" ht="30" hidden="false" customHeight="true" outlineLevel="0" collapsed="false">
      <c r="A85" s="12" t="n">
        <v>76</v>
      </c>
      <c r="B85" s="12" t="s">
        <v>314</v>
      </c>
      <c r="C85" s="12" t="s">
        <v>315</v>
      </c>
      <c r="D85" s="13" t="s">
        <v>316</v>
      </c>
      <c r="E85" s="13" t="s">
        <v>317</v>
      </c>
      <c r="F85" s="13" t="s">
        <v>316</v>
      </c>
      <c r="G85" s="12" t="s">
        <v>318</v>
      </c>
      <c r="H85" s="12" t="s">
        <v>107</v>
      </c>
      <c r="I85" s="13" t="s">
        <v>70</v>
      </c>
    </row>
    <row r="86" customFormat="false" ht="30" hidden="false" customHeight="true" outlineLevel="0" collapsed="false">
      <c r="A86" s="10" t="n">
        <v>77</v>
      </c>
      <c r="B86" s="10" t="s">
        <v>314</v>
      </c>
      <c r="C86" s="10" t="s">
        <v>319</v>
      </c>
      <c r="D86" s="11" t="s">
        <v>320</v>
      </c>
      <c r="E86" s="11" t="s">
        <v>317</v>
      </c>
      <c r="F86" s="11" t="s">
        <v>321</v>
      </c>
      <c r="G86" s="10" t="s">
        <v>318</v>
      </c>
      <c r="H86" s="10" t="s">
        <v>107</v>
      </c>
      <c r="I86" s="11" t="s">
        <v>70</v>
      </c>
    </row>
    <row r="87" customFormat="false" ht="30" hidden="false" customHeight="true" outlineLevel="0" collapsed="false">
      <c r="A87" s="12" t="n">
        <v>78</v>
      </c>
      <c r="B87" s="12" t="s">
        <v>314</v>
      </c>
      <c r="C87" s="12" t="s">
        <v>322</v>
      </c>
      <c r="D87" s="13" t="s">
        <v>323</v>
      </c>
      <c r="E87" s="13" t="s">
        <v>324</v>
      </c>
      <c r="F87" s="13" t="s">
        <v>325</v>
      </c>
      <c r="G87" s="12" t="s">
        <v>318</v>
      </c>
      <c r="H87" s="12" t="s">
        <v>107</v>
      </c>
      <c r="I87" s="13" t="s">
        <v>70</v>
      </c>
    </row>
    <row r="88" customFormat="false" ht="30" hidden="false" customHeight="true" outlineLevel="0" collapsed="false">
      <c r="A88" s="10" t="n">
        <v>79</v>
      </c>
      <c r="B88" s="10" t="s">
        <v>314</v>
      </c>
      <c r="C88" s="10" t="s">
        <v>326</v>
      </c>
      <c r="D88" s="11" t="s">
        <v>323</v>
      </c>
      <c r="E88" s="11" t="s">
        <v>324</v>
      </c>
      <c r="F88" s="11" t="s">
        <v>327</v>
      </c>
      <c r="G88" s="10" t="s">
        <v>318</v>
      </c>
      <c r="H88" s="10" t="s">
        <v>107</v>
      </c>
      <c r="I88" s="11" t="s">
        <v>70</v>
      </c>
    </row>
    <row r="89" customFormat="false" ht="30" hidden="false" customHeight="true" outlineLevel="0" collapsed="false">
      <c r="A89" s="12" t="n">
        <v>80</v>
      </c>
      <c r="B89" s="12" t="s">
        <v>314</v>
      </c>
      <c r="C89" s="12" t="s">
        <v>328</v>
      </c>
      <c r="D89" s="13" t="s">
        <v>329</v>
      </c>
      <c r="E89" s="13" t="s">
        <v>330</v>
      </c>
      <c r="F89" s="13" t="s">
        <v>331</v>
      </c>
      <c r="G89" s="12" t="s">
        <v>318</v>
      </c>
      <c r="H89" s="12" t="s">
        <v>107</v>
      </c>
      <c r="I89" s="13" t="s">
        <v>70</v>
      </c>
    </row>
    <row r="90" customFormat="false" ht="30" hidden="false" customHeight="true" outlineLevel="0" collapsed="false">
      <c r="A90" s="10" t="n">
        <v>81</v>
      </c>
      <c r="B90" s="10" t="s">
        <v>314</v>
      </c>
      <c r="C90" s="10" t="s">
        <v>332</v>
      </c>
      <c r="D90" s="11" t="s">
        <v>333</v>
      </c>
      <c r="E90" s="11" t="s">
        <v>330</v>
      </c>
      <c r="F90" s="11" t="s">
        <v>334</v>
      </c>
      <c r="G90" s="10" t="s">
        <v>318</v>
      </c>
      <c r="H90" s="10" t="s">
        <v>107</v>
      </c>
      <c r="I90" s="11" t="s">
        <v>70</v>
      </c>
    </row>
    <row r="91" customFormat="false" ht="30" hidden="false" customHeight="true" outlineLevel="0" collapsed="false">
      <c r="A91" s="12" t="n">
        <v>82</v>
      </c>
      <c r="B91" s="12" t="s">
        <v>314</v>
      </c>
      <c r="C91" s="12" t="s">
        <v>335</v>
      </c>
      <c r="D91" s="13" t="s">
        <v>333</v>
      </c>
      <c r="E91" s="13" t="s">
        <v>330</v>
      </c>
      <c r="F91" s="13" t="s">
        <v>336</v>
      </c>
      <c r="G91" s="12" t="s">
        <v>318</v>
      </c>
      <c r="H91" s="12" t="s">
        <v>107</v>
      </c>
      <c r="I91" s="13" t="s">
        <v>70</v>
      </c>
    </row>
    <row r="92" customFormat="false" ht="30" hidden="false" customHeight="true" outlineLevel="0" collapsed="false">
      <c r="A92" s="10" t="n">
        <v>83</v>
      </c>
      <c r="B92" s="10" t="s">
        <v>314</v>
      </c>
      <c r="C92" s="10" t="s">
        <v>337</v>
      </c>
      <c r="D92" s="11" t="s">
        <v>329</v>
      </c>
      <c r="E92" s="11" t="s">
        <v>330</v>
      </c>
      <c r="F92" s="11" t="s">
        <v>338</v>
      </c>
      <c r="G92" s="10" t="s">
        <v>318</v>
      </c>
      <c r="H92" s="10" t="s">
        <v>107</v>
      </c>
      <c r="I92" s="11" t="s">
        <v>70</v>
      </c>
    </row>
    <row r="93" customFormat="false" ht="30" hidden="false" customHeight="true" outlineLevel="0" collapsed="false">
      <c r="A93" s="12" t="n">
        <v>84</v>
      </c>
      <c r="B93" s="12" t="s">
        <v>306</v>
      </c>
      <c r="C93" s="12" t="s">
        <v>339</v>
      </c>
      <c r="D93" s="13" t="s">
        <v>340</v>
      </c>
      <c r="E93" s="13" t="s">
        <v>341</v>
      </c>
      <c r="F93" s="13" t="s">
        <v>342</v>
      </c>
      <c r="G93" s="12" t="s">
        <v>343</v>
      </c>
      <c r="H93" s="12" t="s">
        <v>37</v>
      </c>
      <c r="I93" s="13"/>
    </row>
    <row r="94" customFormat="false" ht="30" hidden="false" customHeight="true" outlineLevel="0" collapsed="false">
      <c r="A94" s="10" t="n">
        <v>85</v>
      </c>
      <c r="B94" s="10" t="s">
        <v>306</v>
      </c>
      <c r="C94" s="10" t="s">
        <v>344</v>
      </c>
      <c r="D94" s="11" t="s">
        <v>310</v>
      </c>
      <c r="E94" s="11" t="s">
        <v>341</v>
      </c>
      <c r="F94" s="11" t="s">
        <v>345</v>
      </c>
      <c r="G94" s="10" t="s">
        <v>346</v>
      </c>
      <c r="H94" s="10" t="s">
        <v>37</v>
      </c>
      <c r="I94" s="11"/>
    </row>
    <row r="95" customFormat="false" ht="30" hidden="false" customHeight="true" outlineLevel="0" collapsed="false">
      <c r="A95" s="12" t="n">
        <v>86</v>
      </c>
      <c r="B95" s="12" t="s">
        <v>306</v>
      </c>
      <c r="C95" s="12" t="s">
        <v>347</v>
      </c>
      <c r="D95" s="13" t="s">
        <v>348</v>
      </c>
      <c r="E95" s="13" t="s">
        <v>341</v>
      </c>
      <c r="F95" s="13" t="s">
        <v>349</v>
      </c>
      <c r="G95" s="12" t="s">
        <v>346</v>
      </c>
      <c r="H95" s="12" t="s">
        <v>37</v>
      </c>
      <c r="I95" s="13"/>
    </row>
    <row r="96" customFormat="false" ht="30" hidden="false" customHeight="true" outlineLevel="0" collapsed="false">
      <c r="A96" s="10" t="n">
        <v>87</v>
      </c>
      <c r="B96" s="10" t="s">
        <v>306</v>
      </c>
      <c r="C96" s="10" t="s">
        <v>350</v>
      </c>
      <c r="D96" s="11" t="s">
        <v>340</v>
      </c>
      <c r="E96" s="11" t="s">
        <v>341</v>
      </c>
      <c r="F96" s="11" t="s">
        <v>351</v>
      </c>
      <c r="G96" s="10" t="s">
        <v>346</v>
      </c>
      <c r="H96" s="10" t="s">
        <v>37</v>
      </c>
      <c r="I96" s="11"/>
    </row>
    <row r="97" customFormat="false" ht="30" hidden="false" customHeight="true" outlineLevel="0" collapsed="false">
      <c r="A97" s="12" t="n">
        <v>88</v>
      </c>
      <c r="B97" s="12" t="s">
        <v>306</v>
      </c>
      <c r="C97" s="12" t="s">
        <v>352</v>
      </c>
      <c r="D97" s="13" t="s">
        <v>353</v>
      </c>
      <c r="E97" s="13" t="s">
        <v>341</v>
      </c>
      <c r="F97" s="13" t="s">
        <v>354</v>
      </c>
      <c r="G97" s="12" t="s">
        <v>346</v>
      </c>
      <c r="H97" s="12" t="s">
        <v>37</v>
      </c>
      <c r="I97" s="13"/>
    </row>
    <row r="98" customFormat="false" ht="30" hidden="false" customHeight="true" outlineLevel="0" collapsed="false">
      <c r="A98" s="10" t="n">
        <v>89</v>
      </c>
      <c r="B98" s="10" t="s">
        <v>306</v>
      </c>
      <c r="C98" s="10" t="s">
        <v>355</v>
      </c>
      <c r="D98" s="11" t="s">
        <v>356</v>
      </c>
      <c r="E98" s="11" t="s">
        <v>357</v>
      </c>
      <c r="F98" s="11" t="s">
        <v>358</v>
      </c>
      <c r="G98" s="10" t="s">
        <v>346</v>
      </c>
      <c r="H98" s="10" t="s">
        <v>359</v>
      </c>
      <c r="I98" s="11"/>
    </row>
    <row r="99" customFormat="false" ht="30" hidden="false" customHeight="true" outlineLevel="0" collapsed="false">
      <c r="A99" s="12" t="n">
        <v>90</v>
      </c>
      <c r="B99" s="12" t="s">
        <v>306</v>
      </c>
      <c r="C99" s="12" t="s">
        <v>360</v>
      </c>
      <c r="D99" s="13" t="s">
        <v>356</v>
      </c>
      <c r="E99" s="13" t="s">
        <v>357</v>
      </c>
      <c r="F99" s="13" t="s">
        <v>361</v>
      </c>
      <c r="G99" s="12" t="s">
        <v>346</v>
      </c>
      <c r="H99" s="12" t="s">
        <v>131</v>
      </c>
      <c r="I99" s="13"/>
    </row>
    <row r="100" customFormat="false" ht="30" hidden="false" customHeight="true" outlineLevel="0" collapsed="false">
      <c r="A100" s="10" t="n">
        <v>91</v>
      </c>
      <c r="B100" s="10" t="s">
        <v>306</v>
      </c>
      <c r="C100" s="10" t="s">
        <v>362</v>
      </c>
      <c r="D100" s="11" t="s">
        <v>363</v>
      </c>
      <c r="E100" s="11" t="s">
        <v>357</v>
      </c>
      <c r="F100" s="11" t="s">
        <v>364</v>
      </c>
      <c r="G100" s="10" t="s">
        <v>346</v>
      </c>
      <c r="H100" s="10" t="s">
        <v>131</v>
      </c>
      <c r="I100" s="11"/>
    </row>
    <row r="101" customFormat="false" ht="30" hidden="false" customHeight="true" outlineLevel="0" collapsed="false">
      <c r="A101" s="12" t="n">
        <v>92</v>
      </c>
      <c r="B101" s="12" t="s">
        <v>306</v>
      </c>
      <c r="C101" s="12" t="s">
        <v>365</v>
      </c>
      <c r="D101" s="13" t="s">
        <v>363</v>
      </c>
      <c r="E101" s="13" t="s">
        <v>357</v>
      </c>
      <c r="F101" s="13" t="s">
        <v>363</v>
      </c>
      <c r="G101" s="12" t="s">
        <v>346</v>
      </c>
      <c r="H101" s="12" t="s">
        <v>131</v>
      </c>
      <c r="I101" s="13"/>
    </row>
    <row r="102" customFormat="false" ht="30" hidden="false" customHeight="true" outlineLevel="0" collapsed="false">
      <c r="A102" s="10" t="n">
        <v>93</v>
      </c>
      <c r="B102" s="10" t="s">
        <v>366</v>
      </c>
      <c r="C102" s="10" t="s">
        <v>367</v>
      </c>
      <c r="D102" s="11" t="s">
        <v>368</v>
      </c>
      <c r="E102" s="11" t="s">
        <v>341</v>
      </c>
      <c r="F102" s="11" t="s">
        <v>369</v>
      </c>
      <c r="G102" s="10" t="s">
        <v>370</v>
      </c>
      <c r="H102" s="10" t="s">
        <v>37</v>
      </c>
      <c r="I102" s="11"/>
    </row>
    <row r="103" customFormat="false" ht="30" hidden="false" customHeight="true" outlineLevel="0" collapsed="false">
      <c r="A103" s="12" t="n">
        <v>94</v>
      </c>
      <c r="B103" s="12" t="s">
        <v>366</v>
      </c>
      <c r="C103" s="12" t="s">
        <v>371</v>
      </c>
      <c r="D103" s="13" t="s">
        <v>372</v>
      </c>
      <c r="E103" s="13" t="s">
        <v>341</v>
      </c>
      <c r="F103" s="13" t="s">
        <v>372</v>
      </c>
      <c r="G103" s="12" t="s">
        <v>370</v>
      </c>
      <c r="H103" s="12" t="s">
        <v>37</v>
      </c>
      <c r="I103" s="13"/>
    </row>
    <row r="104" customFormat="false" ht="30" hidden="false" customHeight="true" outlineLevel="0" collapsed="false">
      <c r="A104" s="10" t="n">
        <v>95</v>
      </c>
      <c r="B104" s="10" t="s">
        <v>366</v>
      </c>
      <c r="C104" s="10" t="s">
        <v>373</v>
      </c>
      <c r="D104" s="11" t="s">
        <v>374</v>
      </c>
      <c r="E104" s="11" t="s">
        <v>375</v>
      </c>
      <c r="F104" s="11" t="s">
        <v>376</v>
      </c>
      <c r="G104" s="10" t="s">
        <v>377</v>
      </c>
      <c r="H104" s="10" t="s">
        <v>37</v>
      </c>
      <c r="I104" s="11"/>
    </row>
    <row r="105" customFormat="false" ht="30" hidden="false" customHeight="true" outlineLevel="0" collapsed="false">
      <c r="A105" s="12" t="n">
        <v>96</v>
      </c>
      <c r="B105" s="12" t="s">
        <v>314</v>
      </c>
      <c r="C105" s="12" t="s">
        <v>378</v>
      </c>
      <c r="D105" s="13" t="s">
        <v>375</v>
      </c>
      <c r="E105" s="13" t="s">
        <v>375</v>
      </c>
      <c r="F105" s="13" t="s">
        <v>379</v>
      </c>
      <c r="G105" s="12" t="s">
        <v>380</v>
      </c>
      <c r="H105" s="12" t="s">
        <v>37</v>
      </c>
      <c r="I105" s="13"/>
    </row>
    <row r="106" customFormat="false" ht="30" hidden="false" customHeight="true" outlineLevel="0" collapsed="false">
      <c r="A106" s="10" t="n">
        <v>97</v>
      </c>
      <c r="B106" s="10" t="s">
        <v>314</v>
      </c>
      <c r="C106" s="10" t="s">
        <v>381</v>
      </c>
      <c r="D106" s="11" t="s">
        <v>382</v>
      </c>
      <c r="E106" s="11" t="s">
        <v>375</v>
      </c>
      <c r="F106" s="11" t="s">
        <v>382</v>
      </c>
      <c r="G106" s="10" t="s">
        <v>383</v>
      </c>
      <c r="H106" s="10" t="s">
        <v>37</v>
      </c>
      <c r="I106" s="11"/>
    </row>
    <row r="107" customFormat="false" ht="30" hidden="false" customHeight="true" outlineLevel="0" collapsed="false">
      <c r="A107" s="12" t="n">
        <v>98</v>
      </c>
      <c r="B107" s="12" t="s">
        <v>314</v>
      </c>
      <c r="C107" s="12" t="s">
        <v>384</v>
      </c>
      <c r="D107" s="13" t="s">
        <v>385</v>
      </c>
      <c r="E107" s="13" t="s">
        <v>341</v>
      </c>
      <c r="F107" s="13" t="s">
        <v>386</v>
      </c>
      <c r="G107" s="12" t="s">
        <v>383</v>
      </c>
      <c r="H107" s="12" t="s">
        <v>37</v>
      </c>
      <c r="I107" s="13"/>
    </row>
    <row r="108" customFormat="false" ht="30" hidden="false" customHeight="true" outlineLevel="0" collapsed="false">
      <c r="A108" s="10" t="n">
        <v>99</v>
      </c>
      <c r="B108" s="10" t="s">
        <v>314</v>
      </c>
      <c r="C108" s="10" t="s">
        <v>387</v>
      </c>
      <c r="D108" s="11" t="s">
        <v>388</v>
      </c>
      <c r="E108" s="11" t="s">
        <v>341</v>
      </c>
      <c r="F108" s="11" t="s">
        <v>389</v>
      </c>
      <c r="G108" s="10" t="s">
        <v>383</v>
      </c>
      <c r="H108" s="10" t="s">
        <v>37</v>
      </c>
      <c r="I108" s="11"/>
    </row>
    <row r="109" customFormat="false" ht="30" hidden="false" customHeight="true" outlineLevel="0" collapsed="false">
      <c r="A109" s="12" t="n">
        <v>100</v>
      </c>
      <c r="B109" s="12" t="s">
        <v>314</v>
      </c>
      <c r="C109" s="12" t="s">
        <v>390</v>
      </c>
      <c r="D109" s="13" t="s">
        <v>391</v>
      </c>
      <c r="E109" s="13" t="s">
        <v>341</v>
      </c>
      <c r="F109" s="13" t="s">
        <v>392</v>
      </c>
      <c r="G109" s="12" t="s">
        <v>383</v>
      </c>
      <c r="H109" s="12" t="s">
        <v>37</v>
      </c>
      <c r="I109" s="13"/>
    </row>
    <row r="110" customFormat="false" ht="30" hidden="false" customHeight="true" outlineLevel="0" collapsed="false">
      <c r="A110" s="10" t="n">
        <v>101</v>
      </c>
      <c r="B110" s="10" t="s">
        <v>314</v>
      </c>
      <c r="C110" s="10" t="s">
        <v>393</v>
      </c>
      <c r="D110" s="11" t="s">
        <v>394</v>
      </c>
      <c r="E110" s="11" t="s">
        <v>341</v>
      </c>
      <c r="F110" s="11" t="s">
        <v>394</v>
      </c>
      <c r="G110" s="10" t="s">
        <v>383</v>
      </c>
      <c r="H110" s="10" t="s">
        <v>37</v>
      </c>
      <c r="I110" s="11"/>
    </row>
    <row r="111" customFormat="false" ht="30" hidden="false" customHeight="true" outlineLevel="0" collapsed="false">
      <c r="A111" s="12" t="n">
        <v>102</v>
      </c>
      <c r="B111" s="12" t="s">
        <v>314</v>
      </c>
      <c r="C111" s="12" t="s">
        <v>395</v>
      </c>
      <c r="D111" s="13" t="s">
        <v>396</v>
      </c>
      <c r="E111" s="13" t="s">
        <v>341</v>
      </c>
      <c r="F111" s="13" t="s">
        <v>397</v>
      </c>
      <c r="G111" s="12" t="s">
        <v>383</v>
      </c>
      <c r="H111" s="12" t="s">
        <v>37</v>
      </c>
      <c r="I111" s="13"/>
    </row>
    <row r="112" customFormat="false" ht="30" hidden="false" customHeight="true" outlineLevel="0" collapsed="false">
      <c r="A112" s="10" t="n">
        <v>103</v>
      </c>
      <c r="B112" s="10" t="s">
        <v>314</v>
      </c>
      <c r="C112" s="10" t="s">
        <v>398</v>
      </c>
      <c r="D112" s="11" t="s">
        <v>399</v>
      </c>
      <c r="E112" s="11" t="s">
        <v>341</v>
      </c>
      <c r="F112" s="11" t="s">
        <v>400</v>
      </c>
      <c r="G112" s="10" t="s">
        <v>383</v>
      </c>
      <c r="H112" s="10" t="s">
        <v>37</v>
      </c>
      <c r="I112" s="11"/>
    </row>
    <row r="113" customFormat="false" ht="30" hidden="false" customHeight="true" outlineLevel="0" collapsed="false">
      <c r="A113" s="12" t="n">
        <v>104</v>
      </c>
      <c r="B113" s="12" t="s">
        <v>314</v>
      </c>
      <c r="C113" s="12" t="s">
        <v>401</v>
      </c>
      <c r="D113" s="13" t="s">
        <v>402</v>
      </c>
      <c r="E113" s="13" t="s">
        <v>375</v>
      </c>
      <c r="F113" s="13" t="s">
        <v>403</v>
      </c>
      <c r="G113" s="12" t="s">
        <v>383</v>
      </c>
      <c r="H113" s="12" t="s">
        <v>37</v>
      </c>
      <c r="I113" s="13"/>
    </row>
    <row r="114" customFormat="false" ht="30" hidden="false" customHeight="true" outlineLevel="0" collapsed="false">
      <c r="A114" s="10" t="n">
        <v>105</v>
      </c>
      <c r="B114" s="10" t="s">
        <v>314</v>
      </c>
      <c r="C114" s="10" t="s">
        <v>404</v>
      </c>
      <c r="D114" s="11" t="s">
        <v>402</v>
      </c>
      <c r="E114" s="11" t="s">
        <v>375</v>
      </c>
      <c r="F114" s="11" t="s">
        <v>405</v>
      </c>
      <c r="G114" s="10" t="s">
        <v>383</v>
      </c>
      <c r="H114" s="10" t="s">
        <v>37</v>
      </c>
      <c r="I114" s="11"/>
    </row>
    <row r="115" customFormat="false" ht="30" hidden="false" customHeight="true" outlineLevel="0" collapsed="false">
      <c r="A115" s="12" t="n">
        <v>106</v>
      </c>
      <c r="B115" s="12" t="s">
        <v>306</v>
      </c>
      <c r="C115" s="12" t="s">
        <v>339</v>
      </c>
      <c r="D115" s="13" t="s">
        <v>340</v>
      </c>
      <c r="E115" s="13" t="s">
        <v>341</v>
      </c>
      <c r="F115" s="13" t="s">
        <v>342</v>
      </c>
      <c r="G115" s="12" t="s">
        <v>343</v>
      </c>
      <c r="H115" s="12" t="s">
        <v>37</v>
      </c>
      <c r="I115" s="13"/>
    </row>
    <row r="116" customFormat="false" ht="30" hidden="false" customHeight="true" outlineLevel="0" collapsed="false">
      <c r="A116" s="10" t="n">
        <v>107</v>
      </c>
      <c r="B116" s="10" t="s">
        <v>406</v>
      </c>
      <c r="C116" s="10" t="s">
        <v>407</v>
      </c>
      <c r="D116" s="11" t="s">
        <v>408</v>
      </c>
      <c r="E116" s="11" t="s">
        <v>72</v>
      </c>
      <c r="F116" s="11" t="s">
        <v>409</v>
      </c>
      <c r="G116" s="10" t="s">
        <v>410</v>
      </c>
      <c r="H116" s="10"/>
      <c r="I116" s="11"/>
    </row>
    <row r="118" customFormat="false" ht="15" hidden="false" customHeight="true" outlineLevel="0" collapsed="false">
      <c r="A118" s="14" t="s">
        <v>411</v>
      </c>
      <c r="B118" s="14"/>
      <c r="C118" s="14"/>
      <c r="D118" s="14"/>
      <c r="E118" s="14"/>
      <c r="F118" s="14"/>
      <c r="G118" s="14"/>
      <c r="H118" s="14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customFormat="false" ht="15" hidden="false" customHeight="true" outlineLevel="0" collapsed="false">
      <c r="A119" s="16" t="s">
        <v>412</v>
      </c>
      <c r="B119" s="16"/>
      <c r="C119" s="16"/>
      <c r="D119" s="16"/>
      <c r="E119" s="16"/>
      <c r="F119" s="16"/>
      <c r="G119" s="16"/>
      <c r="H119" s="16"/>
      <c r="I119" s="16"/>
      <c r="J119" s="17" t="n">
        <f aca="false">COUNTA(A10:A116)</f>
        <v>107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</row>
    <row r="120" customFormat="false" ht="15" hidden="false" customHeight="true" outlineLevel="0" collapsed="false">
      <c r="A120" s="16" t="s">
        <v>413</v>
      </c>
      <c r="B120" s="16"/>
      <c r="C120" s="16"/>
      <c r="D120" s="16"/>
      <c r="E120" s="16"/>
      <c r="F120" s="16"/>
      <c r="G120" s="16"/>
      <c r="H120" s="16"/>
      <c r="I120" s="16"/>
      <c r="J120" s="17" t="n">
        <f aca="false">COUNTA(L10:L116)</f>
        <v>0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</row>
    <row r="121" customFormat="false" ht="15" hidden="false" customHeight="true" outlineLevel="0" collapsed="false">
      <c r="A121" s="16" t="s">
        <v>414</v>
      </c>
      <c r="B121" s="16"/>
      <c r="C121" s="16"/>
      <c r="D121" s="16"/>
      <c r="E121" s="16"/>
      <c r="F121" s="16"/>
      <c r="G121" s="16"/>
      <c r="H121" s="16"/>
      <c r="I121" s="16"/>
      <c r="J121" s="17" t="n">
        <f aca="false">COUNTIF(L10:L116,"Thiếu/Yếu")+COUNTIF(L10:L116,"Hư hỏng")+COUNTIF(L10:L116,"Không có")</f>
        <v>0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 customFormat="false" ht="15" hidden="false" customHeight="true" outlineLevel="0" collapsed="false">
      <c r="A122" s="16" t="s">
        <v>415</v>
      </c>
      <c r="B122" s="16"/>
      <c r="C122" s="16"/>
      <c r="D122" s="16"/>
      <c r="E122" s="16"/>
      <c r="F122" s="16"/>
      <c r="G122" s="16"/>
      <c r="H122" s="16"/>
      <c r="I122" s="16"/>
      <c r="J122" s="17" t="n">
        <f aca="false">COUNTIF(M10:M116,"Có - cần bổ sung")+COUNTIF(M10:M116,"Không có")</f>
        <v>0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</row>
    <row r="123" customFormat="false" ht="15" hidden="false" customHeight="true" outlineLevel="0" collapsed="false">
      <c r="A123" s="16" t="s">
        <v>416</v>
      </c>
      <c r="B123" s="16"/>
      <c r="C123" s="16"/>
      <c r="D123" s="16"/>
      <c r="E123" s="16"/>
      <c r="F123" s="16"/>
      <c r="G123" s="16"/>
      <c r="H123" s="16"/>
      <c r="I123" s="16"/>
      <c r="J123" s="17" t="n">
        <f aca="false">COUNTIF(Q10:Q116,"Cao")</f>
        <v>0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</row>
    <row r="125" customFormat="false" ht="15" hidden="false" customHeight="true" outlineLevel="0" collapsed="false">
      <c r="A125" s="19" t="s">
        <v>417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customFormat="false" ht="15" hidden="false" customHeight="true" outlineLevel="0" collapsed="false">
      <c r="A126" s="20" t="s">
        <v>418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 customFormat="false" ht="15" hidden="false" customHeight="true" outlineLevel="0" collapsed="false">
      <c r="A127" s="20" t="s">
        <v>419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 customFormat="false" ht="15" hidden="false" customHeight="true" outlineLevel="0" collapsed="false">
      <c r="A128" s="20" t="s">
        <v>420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</row>
    <row r="129" customFormat="false" ht="15" hidden="false" customHeight="true" outlineLevel="0" collapsed="false">
      <c r="A129" s="20" t="s">
        <v>421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</row>
    <row r="130" customFormat="false" ht="15" hidden="false" customHeight="true" outlineLevel="0" collapsed="false">
      <c r="A130" s="20" t="s">
        <v>422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</row>
    <row r="131" customFormat="false" ht="15" hidden="false" customHeight="true" outlineLevel="0" collapsed="false">
      <c r="A131" s="20" t="s">
        <v>423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</row>
    <row r="134" customFormat="false" ht="15" hidden="false" customHeight="true" outlineLevel="0" collapsed="false">
      <c r="C134" s="21" t="s">
        <v>424</v>
      </c>
      <c r="D134" s="21"/>
      <c r="E134" s="21"/>
      <c r="F134" s="21"/>
      <c r="N134" s="21" t="s">
        <v>425</v>
      </c>
      <c r="O134" s="21"/>
      <c r="P134" s="21"/>
      <c r="Q134" s="21"/>
      <c r="R134" s="21"/>
    </row>
    <row r="135" customFormat="false" ht="15" hidden="false" customHeight="true" outlineLevel="0" collapsed="false">
      <c r="C135" s="22" t="s">
        <v>426</v>
      </c>
      <c r="D135" s="22"/>
      <c r="E135" s="22"/>
      <c r="F135" s="22"/>
      <c r="N135" s="22" t="s">
        <v>426</v>
      </c>
      <c r="O135" s="22"/>
      <c r="P135" s="22"/>
      <c r="Q135" s="22"/>
      <c r="R135" s="22"/>
    </row>
  </sheetData>
  <mergeCells count="33">
    <mergeCell ref="A1:U1"/>
    <mergeCell ref="A2:U2"/>
    <mergeCell ref="A3:U3"/>
    <mergeCell ref="A4:U4"/>
    <mergeCell ref="A6:D6"/>
    <mergeCell ref="E6:I6"/>
    <mergeCell ref="J6:N6"/>
    <mergeCell ref="O6:U6"/>
    <mergeCell ref="A8:I8"/>
    <mergeCell ref="J8:U8"/>
    <mergeCell ref="A118:I118"/>
    <mergeCell ref="J118:U118"/>
    <mergeCell ref="A119:I119"/>
    <mergeCell ref="K119:U119"/>
    <mergeCell ref="A120:I120"/>
    <mergeCell ref="K120:U120"/>
    <mergeCell ref="A121:I121"/>
    <mergeCell ref="K121:U121"/>
    <mergeCell ref="A122:I122"/>
    <mergeCell ref="K122:U122"/>
    <mergeCell ref="A123:I123"/>
    <mergeCell ref="K123:U123"/>
    <mergeCell ref="A125:U125"/>
    <mergeCell ref="A126:U126"/>
    <mergeCell ref="A127:U127"/>
    <mergeCell ref="A128:U128"/>
    <mergeCell ref="A129:U129"/>
    <mergeCell ref="A130:U130"/>
    <mergeCell ref="A131:U131"/>
    <mergeCell ref="C134:F134"/>
    <mergeCell ref="N134:R134"/>
    <mergeCell ref="C135:F135"/>
    <mergeCell ref="N135:R135"/>
  </mergeCells>
  <dataValidations count="3">
    <dataValidation allowBlank="true" errorStyle="stop" operator="between" showDropDown="false" showErrorMessage="false" showInputMessage="false" sqref="L10:L116" type="list">
      <formula1>"Đầy đủ,Thiếu/Yếu,Hư hỏng,Không có"</formula1>
      <formula2>0</formula2>
    </dataValidation>
    <dataValidation allowBlank="true" errorStyle="stop" operator="between" showDropDown="false" showErrorMessage="false" showInputMessage="false" sqref="M10:M116" type="list">
      <formula1>"Có đầy đủ,Có - cần bổ sung,Không có"</formula1>
      <formula2>0</formula2>
    </dataValidation>
    <dataValidation allowBlank="true" errorStyle="stop" operator="between" showDropDown="false" showErrorMessage="false" showInputMessage="false" sqref="Q10:Q116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2026-06-24T04:25:25Z</dcterms:created>
  <dc:creator>openpyxl</dc:creator>
  <dc:description/>
  <dc:language>en-US</dc:language>
  <cp:lastModifiedBy/>
  <dcterms:modified xsi:type="dcterms:W3CDTF">2026-06-24T04:25:25Z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